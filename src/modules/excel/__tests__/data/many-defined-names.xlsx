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dhavModi\Downloads\"/>
    </mc:Choice>
  </mc:AlternateContent>
  <xr:revisionPtr revIDLastSave="0" documentId="13_ncr:1_{3BCE1D78-C6E0-4B3A-A821-5338C5139DBA}" xr6:coauthVersionLast="47" xr6:coauthVersionMax="47" xr10:uidLastSave="{00000000-0000-0000-0000-000000000000}"/>
  <bookViews>
    <workbookView xWindow="-108" yWindow="-108" windowWidth="23256" windowHeight="13896" xr2:uid="{60363BFC-4E3D-41BB-95AB-E1BCFB77D9A0}"/>
  </bookViews>
  <sheets>
    <sheet name="Note 6" sheetId="1" r:id="rId1"/>
  </sheets>
  <externalReferences>
    <externalReference r:id="rId2"/>
  </externalReferences>
  <definedNames>
    <definedName name="\" hidden="1">{#N/A,#N/A,FALSE,"Aging Summary";#N/A,#N/A,FALSE,"Ratio Analysis";#N/A,#N/A,FALSE,"Test 120 Day Accts";#N/A,#N/A,FALSE,"Tickmarks"}</definedName>
    <definedName name="\0">#REF!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#REF!</definedName>
    <definedName name="\a_1">#N/A</definedName>
    <definedName name="\AA">#REF!</definedName>
    <definedName name="\b">#REF!</definedName>
    <definedName name="\B5">#REF!</definedName>
    <definedName name="\BS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NOTES">#N/A</definedName>
    <definedName name="\o">#N/A</definedName>
    <definedName name="\p">#REF!</definedName>
    <definedName name="\P3">#REF!</definedName>
    <definedName name="\po">#N/A</definedName>
    <definedName name="\q">#REF!</definedName>
    <definedName name="\r">#REF!</definedName>
    <definedName name="\s">#REF!</definedName>
    <definedName name="\ST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">#REF!</definedName>
    <definedName name="_?">#N/A</definedName>
    <definedName name="_??">#REF!</definedName>
    <definedName name="_???">#REF!</definedName>
    <definedName name="_????">#REF!</definedName>
    <definedName name="_??1">#N/A</definedName>
    <definedName name="_??2">#N/A</definedName>
    <definedName name="_\">#N/A</definedName>
    <definedName name="_______" hidden="1">#NAME?</definedName>
    <definedName name="_____________________________DAT8">#REF!</definedName>
    <definedName name="_____________________________DAT9">#REF!</definedName>
    <definedName name="____________________________DAT1">#REF!</definedName>
    <definedName name="____________________________DAT12">#REF!</definedName>
    <definedName name="____________________________DAT8">#REF!</definedName>
    <definedName name="____________________________DAT9">#REF!</definedName>
    <definedName name="___________________________BG1">#N/A</definedName>
    <definedName name="___________________________DAT1">#REF!</definedName>
    <definedName name="___________________________DAT12">#REF!</definedName>
    <definedName name="___________________________DAT8">#REF!</definedName>
    <definedName name="___________________________DAT9">#REF!</definedName>
    <definedName name="___________________________SH3">#N/A</definedName>
    <definedName name="__________________________A11" hidden="1">{#N/A,#N/A,FALSE,"Umsatz 99";#N/A,#N/A,FALSE,"ER 99 "}</definedName>
    <definedName name="__________________________BG1">#N/A</definedName>
    <definedName name="__________________________c" hidden="1">{"Fiesta Facer Page",#N/A,FALSE,"Q_C_S";"Fiesta Main Page",#N/A,FALSE,"V_L";"Fiesta 95BP Struct",#N/A,FALSE,"StructBP";"Fiesta Post 95BP Struct",#N/A,FALSE,"AdjStructBP"}</definedName>
    <definedName name="__________________________DAT1">#REF!</definedName>
    <definedName name="__________________________DAT12">#REF!</definedName>
    <definedName name="__________________________DAT9">#REF!</definedName>
    <definedName name="__________________________SH3">#N/A</definedName>
    <definedName name="__________________________V2" hidden="1">{#N/A,#N/A,FALSE,"Tabl. A1";#N/A,#N/A,FALSE,"Tabl. A1 b";#N/A,#N/A,FALSE,"Tabl. A2";#N/A,#N/A,FALSE,"Tabl. A2-1";#N/A,#N/A,FALSE,"Tabl. A2-2"}</definedName>
    <definedName name="_________________________DAT1">#REF!</definedName>
    <definedName name="_________________________DAT12">#REF!</definedName>
    <definedName name="_________________________DAT8">#REF!</definedName>
    <definedName name="________________________DAT1">#REF!</definedName>
    <definedName name="________________________DAT12">#REF!</definedName>
    <definedName name="________________________DAT3">#REF!</definedName>
    <definedName name="________________________DAT6">#REF!</definedName>
    <definedName name="________________________DAT7">#REF!</definedName>
    <definedName name="________________________DAT9">#REF!</definedName>
    <definedName name="________________________EC3" hidden="1">{#N/A,#N/A,FALSE,"QC REVIEW"}</definedName>
    <definedName name="________________________PR1" hidden="1">{#N/A,#N/A,FALSE,"QC REVIEW"}</definedName>
    <definedName name="________________________pr11" hidden="1">{#N/A,#N/A,FALSE,"QC REVIEW"}</definedName>
    <definedName name="________________________pr2" hidden="1">{#N/A,#N/A,FALSE,"QC REVIEW"}</definedName>
    <definedName name="________________________pr3" hidden="1">{#N/A,#N/A,FALSE,"QC REVIEW"}</definedName>
    <definedName name="________________________pr31" hidden="1">{#N/A,#N/A,FALSE,"QC REVIEW"}</definedName>
    <definedName name="________________________pr4" hidden="1">{#N/A,#N/A,FALSE,"QC REVIEW"}</definedName>
    <definedName name="________________________pr5" hidden="1">{#N/A,#N/A,FALSE,"QC REVIEW"}</definedName>
    <definedName name="________________________prs3" hidden="1">{#N/A,#N/A,FALSE,"QC REVIEW"}</definedName>
    <definedName name="________________________prs5" hidden="1">{#N/A,#N/A,FALSE,"QC REVIEW"}</definedName>
    <definedName name="_______________________A11" hidden="1">{#N/A,#N/A,FALSE,"Umsatz 99";#N/A,#N/A,FALSE,"ER 99 "}</definedName>
    <definedName name="_______________________BG1">#N/A</definedName>
    <definedName name="_______________________c" hidden="1">{"Fiesta Facer Page",#N/A,FALSE,"Q_C_S";"Fiesta Main Page",#N/A,FALSE,"V_L";"Fiesta 95BP Struct",#N/A,FALSE,"StructBP";"Fiesta Post 95BP Struct",#N/A,FALSE,"AdjStructBP"}</definedName>
    <definedName name="_______________________DAT1">#REF!</definedName>
    <definedName name="_______________________DAT12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EC3" hidden="1">{#N/A,#N/A,FALSE,"QC REVIEW"}</definedName>
    <definedName name="_______________________PR1" hidden="1">{#N/A,#N/A,FALSE,"QC REVIEW"}</definedName>
    <definedName name="_______________________pr11" hidden="1">{#N/A,#N/A,FALSE,"QC REVIEW"}</definedName>
    <definedName name="_______________________pr2" hidden="1">{#N/A,#N/A,FALSE,"QC REVIEW"}</definedName>
    <definedName name="_______________________pr3" hidden="1">{#N/A,#N/A,FALSE,"QC REVIEW"}</definedName>
    <definedName name="_______________________pr31" hidden="1">{#N/A,#N/A,FALSE,"QC REVIEW"}</definedName>
    <definedName name="_______________________pr4" hidden="1">{#N/A,#N/A,FALSE,"QC REVIEW"}</definedName>
    <definedName name="_______________________pr5" hidden="1">{#N/A,#N/A,FALSE,"QC REVIEW"}</definedName>
    <definedName name="_______________________prs3" hidden="1">{#N/A,#N/A,FALSE,"QC REVIEW"}</definedName>
    <definedName name="_______________________prs5" hidden="1">{#N/A,#N/A,FALSE,"QC REVIEW"}</definedName>
    <definedName name="_______________________SH3">#N/A</definedName>
    <definedName name="_______________________V2" hidden="1">{#N/A,#N/A,FALSE,"Tabl. A1";#N/A,#N/A,FALSE,"Tabl. A1 b";#N/A,#N/A,FALSE,"Tabl. A2";#N/A,#N/A,FALSE,"Tabl. A2-1";#N/A,#N/A,FALSE,"Tabl. A2-2"}</definedName>
    <definedName name="______________________DAT1">#REF!</definedName>
    <definedName name="______________________DAT11">#REF!</definedName>
    <definedName name="______________________DAT12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9">#REF!</definedName>
    <definedName name="______________________EC3" hidden="1">{#N/A,#N/A,FALSE,"QC REVIEW"}</definedName>
    <definedName name="______________________PR1" hidden="1">{#N/A,#N/A,FALSE,"QC REVIEW"}</definedName>
    <definedName name="______________________pr11" hidden="1">{#N/A,#N/A,FALSE,"QC REVIEW"}</definedName>
    <definedName name="______________________pr2" hidden="1">{#N/A,#N/A,FALSE,"QC REVIEW"}</definedName>
    <definedName name="______________________pr3" hidden="1">{#N/A,#N/A,FALSE,"QC REVIEW"}</definedName>
    <definedName name="______________________pr31" hidden="1">{#N/A,#N/A,FALSE,"QC REVIEW"}</definedName>
    <definedName name="______________________pr4" hidden="1">{#N/A,#N/A,FALSE,"QC REVIEW"}</definedName>
    <definedName name="______________________pr5" hidden="1">{#N/A,#N/A,FALSE,"QC REVIEW"}</definedName>
    <definedName name="______________________prs3" hidden="1">{#N/A,#N/A,FALSE,"QC REVIEW"}</definedName>
    <definedName name="______________________prs5" hidden="1">{#N/A,#N/A,FALSE,"QC REVIEW"}</definedName>
    <definedName name="______________________s1">#REF!</definedName>
    <definedName name="_____________________A11" hidden="1">{#N/A,#N/A,FALSE,"Umsatz 99";#N/A,#N/A,FALSE,"ER 99 "}</definedName>
    <definedName name="_____________________BG1">#N/A</definedName>
    <definedName name="_____________________c" hidden="1">{"Fiesta Facer Page",#N/A,FALSE,"Q_C_S";"Fiesta Main Page",#N/A,FALSE,"V_L";"Fiesta 95BP Struct",#N/A,FALSE,"StructBP";"Fiesta Post 95BP Struct",#N/A,FALSE,"AdjStructBP"}</definedName>
    <definedName name="_____________________DAT1">#REF!</definedName>
    <definedName name="_____________________DAT11">#REF!</definedName>
    <definedName name="_____________________DAT12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EC3" hidden="1">{#N/A,#N/A,FALSE,"QC REVIEW"}</definedName>
    <definedName name="_____________________PR1" hidden="1">{#N/A,#N/A,FALSE,"QC REVIEW"}</definedName>
    <definedName name="_____________________pr11" hidden="1">{#N/A,#N/A,FALSE,"QC REVIEW"}</definedName>
    <definedName name="_____________________pr2" hidden="1">{#N/A,#N/A,FALSE,"QC REVIEW"}</definedName>
    <definedName name="_____________________pr3" hidden="1">{#N/A,#N/A,FALSE,"QC REVIEW"}</definedName>
    <definedName name="_____________________pr31" hidden="1">{#N/A,#N/A,FALSE,"QC REVIEW"}</definedName>
    <definedName name="_____________________pr4" hidden="1">{#N/A,#N/A,FALSE,"QC REVIEW"}</definedName>
    <definedName name="_____________________pr5" hidden="1">{#N/A,#N/A,FALSE,"QC REVIEW"}</definedName>
    <definedName name="_____________________prs3" hidden="1">{#N/A,#N/A,FALSE,"QC REVIEW"}</definedName>
    <definedName name="_____________________prs5" hidden="1">{#N/A,#N/A,FALSE,"QC REVIEW"}</definedName>
    <definedName name="_____________________s1">#REF!</definedName>
    <definedName name="_____________________SH3">#N/A</definedName>
    <definedName name="_____________________V2" hidden="1">{#N/A,#N/A,FALSE,"Tabl. A1";#N/A,#N/A,FALSE,"Tabl. A1 b";#N/A,#N/A,FALSE,"Tabl. A2";#N/A,#N/A,FALSE,"Tabl. A2-1";#N/A,#N/A,FALSE,"Tabl. A2-2"}</definedName>
    <definedName name="____________________A11" hidden="1">{#N/A,#N/A,FALSE,"Umsatz 99";#N/A,#N/A,FALSE,"ER 99 "}</definedName>
    <definedName name="____________________Ash1">#REF!</definedName>
    <definedName name="____________________BG1">#N/A</definedName>
    <definedName name="____________________c" hidden="1">{"Fiesta Facer Page",#N/A,FALSE,"Q_C_S";"Fiesta Main Page",#N/A,FALSE,"V_L";"Fiesta 95BP Struct",#N/A,FALSE,"StructBP";"Fiesta Post 95BP Struct",#N/A,FALSE,"AdjStructBP"}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EC3" hidden="1">{#N/A,#N/A,FALSE,"QC REVIEW"}</definedName>
    <definedName name="____________________PR1" hidden="1">{#N/A,#N/A,FALSE,"QC REVIEW"}</definedName>
    <definedName name="____________________pr11" hidden="1">{#N/A,#N/A,FALSE,"QC REVIEW"}</definedName>
    <definedName name="____________________pr2" hidden="1">{#N/A,#N/A,FALSE,"QC REVIEW"}</definedName>
    <definedName name="____________________pr3" hidden="1">{#N/A,#N/A,FALSE,"QC REVIEW"}</definedName>
    <definedName name="____________________pr31" hidden="1">{#N/A,#N/A,FALSE,"QC REVIEW"}</definedName>
    <definedName name="____________________pr4" hidden="1">{#N/A,#N/A,FALSE,"QC REVIEW"}</definedName>
    <definedName name="____________________pr5" hidden="1">{#N/A,#N/A,FALSE,"QC REVIEW"}</definedName>
    <definedName name="____________________prs3" hidden="1">{#N/A,#N/A,FALSE,"QC REVIEW"}</definedName>
    <definedName name="____________________prs5" hidden="1">{#N/A,#N/A,FALSE,"QC REVIEW"}</definedName>
    <definedName name="____________________s1">#REF!</definedName>
    <definedName name="____________________SH3">#N/A</definedName>
    <definedName name="____________________V2" hidden="1">{#N/A,#N/A,FALSE,"Tabl. A1";#N/A,#N/A,FALSE,"Tabl. A1 b";#N/A,#N/A,FALSE,"Tabl. A2";#N/A,#N/A,FALSE,"Tabl. A2-1";#N/A,#N/A,FALSE,"Tabl. A2-2"}</definedName>
    <definedName name="___________________A11" hidden="1">{#N/A,#N/A,FALSE,"Umsatz 99";#N/A,#N/A,FALSE,"ER 99 "}</definedName>
    <definedName name="___________________Ash1">#REF!</definedName>
    <definedName name="___________________BG1">#N/A</definedName>
    <definedName name="___________________c" hidden="1">{"Fiesta Facer Page",#N/A,FALSE,"Q_C_S";"Fiesta Main Page",#N/A,FALSE,"V_L";"Fiesta 95BP Struct",#N/A,FALSE,"StructBP";"Fiesta Post 95BP Struct",#N/A,FALSE,"AdjStructBP"}</definedName>
    <definedName name="___________________DAT1">#REF!</definedName>
    <definedName name="___________________DAT11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s1">#REF!</definedName>
    <definedName name="___________________SH3">#N/A</definedName>
    <definedName name="___________________V2" hidden="1">{#N/A,#N/A,FALSE,"Tabl. A1";#N/A,#N/A,FALSE,"Tabl. A1 b";#N/A,#N/A,FALSE,"Tabl. A2";#N/A,#N/A,FALSE,"Tabl. A2-1";#N/A,#N/A,FALSE,"Tabl. A2-2"}</definedName>
    <definedName name="__________________A11" hidden="1">{#N/A,#N/A,FALSE,"Umsatz 99";#N/A,#N/A,FALSE,"ER 99 "}</definedName>
    <definedName name="__________________Ash1">#REF!</definedName>
    <definedName name="__________________BG1">#N/A</definedName>
    <definedName name="__________________c" hidden="1">{"Fiesta Facer Page",#N/A,FALSE,"Q_C_S";"Fiesta Main Page",#N/A,FALSE,"V_L";"Fiesta 95BP Struct",#N/A,FALSE,"StructBP";"Fiesta Post 95BP Struct",#N/A,FALSE,"AdjStructBP"}</definedName>
    <definedName name="__________________DAT11">#REF!</definedName>
    <definedName name="__________________DAT12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9">#REF!</definedName>
    <definedName name="__________________EC3" hidden="1">{#N/A,#N/A,FALSE,"QC REVIEW"}</definedName>
    <definedName name="__________________PR1" hidden="1">{#N/A,#N/A,FALSE,"QC REVIEW"}</definedName>
    <definedName name="__________________pr11" hidden="1">{#N/A,#N/A,FALSE,"QC REVIEW"}</definedName>
    <definedName name="__________________pr2" hidden="1">{#N/A,#N/A,FALSE,"QC REVIEW"}</definedName>
    <definedName name="__________________pr3" hidden="1">{#N/A,#N/A,FALSE,"QC REVIEW"}</definedName>
    <definedName name="__________________pr31" hidden="1">{#N/A,#N/A,FALSE,"QC REVIEW"}</definedName>
    <definedName name="__________________pr4" hidden="1">{#N/A,#N/A,FALSE,"QC REVIEW"}</definedName>
    <definedName name="__________________pr5" hidden="1">{#N/A,#N/A,FALSE,"QC REVIEW"}</definedName>
    <definedName name="__________________prs3" hidden="1">{#N/A,#N/A,FALSE,"QC REVIEW"}</definedName>
    <definedName name="__________________prs5" hidden="1">{#N/A,#N/A,FALSE,"QC REVIEW"}</definedName>
    <definedName name="__________________s1">#REF!</definedName>
    <definedName name="__________________SH3">#N/A</definedName>
    <definedName name="__________________V2" hidden="1">{#N/A,#N/A,FALSE,"Tabl. A1";#N/A,#N/A,FALSE,"Tabl. A1 b";#N/A,#N/A,FALSE,"Tabl. A2";#N/A,#N/A,FALSE,"Tabl. A2-1";#N/A,#N/A,FALSE,"Tabl. A2-2"}</definedName>
    <definedName name="_________________A11" hidden="1">{#N/A,#N/A,FALSE,"Umsatz 99";#N/A,#N/A,FALSE,"ER 99 "}</definedName>
    <definedName name="_________________Ash1">#REF!</definedName>
    <definedName name="_________________BG1">#N/A</definedName>
    <definedName name="_________________c" hidden="1">{"Fiesta Facer Page",#N/A,FALSE,"Q_C_S";"Fiesta Main Page",#N/A,FALSE,"V_L";"Fiesta 95BP Struct",#N/A,FALSE,"StructBP";"Fiesta Post 95BP Struct",#N/A,FALSE,"AdjStructBP"}</definedName>
    <definedName name="_________________DAT11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EC3" hidden="1">{#N/A,#N/A,FALSE,"QC REVIEW"}</definedName>
    <definedName name="_________________PR1" hidden="1">{#N/A,#N/A,FALSE,"QC REVIEW"}</definedName>
    <definedName name="_________________pr11" hidden="1">{#N/A,#N/A,FALSE,"QC REVIEW"}</definedName>
    <definedName name="_________________pr2" hidden="1">{#N/A,#N/A,FALSE,"QC REVIEW"}</definedName>
    <definedName name="_________________pr3" hidden="1">{#N/A,#N/A,FALSE,"QC REVIEW"}</definedName>
    <definedName name="_________________pr31" hidden="1">{#N/A,#N/A,FALSE,"QC REVIEW"}</definedName>
    <definedName name="_________________pr4" hidden="1">{#N/A,#N/A,FALSE,"QC REVIEW"}</definedName>
    <definedName name="_________________pr5" hidden="1">{#N/A,#N/A,FALSE,"QC REVIEW"}</definedName>
    <definedName name="_________________prs3" hidden="1">{#N/A,#N/A,FALSE,"QC REVIEW"}</definedName>
    <definedName name="_________________prs5" hidden="1">{#N/A,#N/A,FALSE,"QC REVIEW"}</definedName>
    <definedName name="_________________s1">#REF!</definedName>
    <definedName name="_________________SH3">#N/A</definedName>
    <definedName name="_________________V2" hidden="1">{#N/A,#N/A,FALSE,"Tabl. A1";#N/A,#N/A,FALSE,"Tabl. A1 b";#N/A,#N/A,FALSE,"Tabl. A2";#N/A,#N/A,FALSE,"Tabl. A2-1";#N/A,#N/A,FALSE,"Tabl. A2-2"}</definedName>
    <definedName name="________________A11" hidden="1">{#N/A,#N/A,FALSE,"Umsatz 99";#N/A,#N/A,FALSE,"ER 99 "}</definedName>
    <definedName name="________________Ash1">#REF!</definedName>
    <definedName name="________________BG1">#N/A</definedName>
    <definedName name="________________c" hidden="1">{"Fiesta Facer Page",#N/A,FALSE,"Q_C_S";"Fiesta Main Page",#N/A,FALSE,"V_L";"Fiesta 95BP Struct",#N/A,FALSE,"StructBP";"Fiesta Post 95BP Struct",#N/A,FALSE,"AdjStructBP"}</definedName>
    <definedName name="________________DAT1">#REF!</definedName>
    <definedName name="________________DAT11">#REF!</definedName>
    <definedName name="________________DAT12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EC3" hidden="1">{#N/A,#N/A,FALSE,"QC REVIEW"}</definedName>
    <definedName name="________________PR1" hidden="1">{#N/A,#N/A,FALSE,"QC REVIEW"}</definedName>
    <definedName name="________________pr11" hidden="1">{#N/A,#N/A,FALSE,"QC REVIEW"}</definedName>
    <definedName name="________________pr2" hidden="1">{#N/A,#N/A,FALSE,"QC REVIEW"}</definedName>
    <definedName name="________________pr3" hidden="1">{#N/A,#N/A,FALSE,"QC REVIEW"}</definedName>
    <definedName name="________________pr31" hidden="1">{#N/A,#N/A,FALSE,"QC REVIEW"}</definedName>
    <definedName name="________________pr4" hidden="1">{#N/A,#N/A,FALSE,"QC REVIEW"}</definedName>
    <definedName name="________________pr5" hidden="1">{#N/A,#N/A,FALSE,"QC REVIEW"}</definedName>
    <definedName name="________________prs3" hidden="1">{#N/A,#N/A,FALSE,"QC REVIEW"}</definedName>
    <definedName name="________________prs5" hidden="1">{#N/A,#N/A,FALSE,"QC REVIEW"}</definedName>
    <definedName name="________________rpt1">#REF!</definedName>
    <definedName name="________________rpt2">#REF!</definedName>
    <definedName name="________________s1">#REF!</definedName>
    <definedName name="________________SH3">#N/A</definedName>
    <definedName name="________________V2" hidden="1">{#N/A,#N/A,FALSE,"Tabl. A1";#N/A,#N/A,FALSE,"Tabl. A1 b";#N/A,#N/A,FALSE,"Tabl. A2";#N/A,#N/A,FALSE,"Tabl. A2-1";#N/A,#N/A,FALSE,"Tabl. A2-2"}</definedName>
    <definedName name="_______________A11" hidden="1">{#N/A,#N/A,FALSE,"Umsatz 99";#N/A,#N/A,FALSE,"ER 99 "}</definedName>
    <definedName name="_______________Ash1">#REF!</definedName>
    <definedName name="_______________BG1">#N/A</definedName>
    <definedName name="_______________c" hidden="1">{"Fiesta Facer Page",#N/A,FALSE,"Q_C_S";"Fiesta Main Page",#N/A,FALSE,"V_L";"Fiesta 95BP Struct",#N/A,FALSE,"StructBP";"Fiesta Post 95BP Struct",#N/A,FALSE,"AdjStructBP"}</definedName>
    <definedName name="_______________DAT1">#REF!</definedName>
    <definedName name="_______________DAT11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EC3" hidden="1">{#N/A,#N/A,FALSE,"QC REVIEW"}</definedName>
    <definedName name="_______________PR1" hidden="1">{#N/A,#N/A,FALSE,"QC REVIEW"}</definedName>
    <definedName name="_______________pr11" hidden="1">{#N/A,#N/A,FALSE,"QC REVIEW"}</definedName>
    <definedName name="_______________pr2" hidden="1">{#N/A,#N/A,FALSE,"QC REVIEW"}</definedName>
    <definedName name="_______________pr3" hidden="1">{#N/A,#N/A,FALSE,"QC REVIEW"}</definedName>
    <definedName name="_______________pr31" hidden="1">{#N/A,#N/A,FALSE,"QC REVIEW"}</definedName>
    <definedName name="_______________pr4" hidden="1">{#N/A,#N/A,FALSE,"QC REVIEW"}</definedName>
    <definedName name="_______________pr5" hidden="1">{#N/A,#N/A,FALSE,"QC REVIEW"}</definedName>
    <definedName name="_______________prs3" hidden="1">{#N/A,#N/A,FALSE,"QC REVIEW"}</definedName>
    <definedName name="_______________prs5" hidden="1">{#N/A,#N/A,FALSE,"QC REVIEW"}</definedName>
    <definedName name="_______________rpt1">#REF!</definedName>
    <definedName name="_______________rpt2">#REF!</definedName>
    <definedName name="_______________s1">#REF!</definedName>
    <definedName name="_______________SH3">#N/A</definedName>
    <definedName name="_______________V2" hidden="1">{#N/A,#N/A,FALSE,"Tabl. A1";#N/A,#N/A,FALSE,"Tabl. A1 b";#N/A,#N/A,FALSE,"Tabl. A2";#N/A,#N/A,FALSE,"Tabl. A2-1";#N/A,#N/A,FALSE,"Tabl. A2-2"}</definedName>
    <definedName name="______________A11" hidden="1">{#N/A,#N/A,FALSE,"Umsatz 99";#N/A,#N/A,FALSE,"ER 99 "}</definedName>
    <definedName name="______________Ash1">#REF!</definedName>
    <definedName name="______________BG1">#N/A</definedName>
    <definedName name="______________c" hidden="1">{"Fiesta Facer Page",#N/A,FALSE,"Q_C_S";"Fiesta Main Page",#N/A,FALSE,"V_L";"Fiesta 95BP Struct",#N/A,FALSE,"StructBP";"Fiesta Post 95BP Struct",#N/A,FALSE,"AdjStructBP"}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EC3" hidden="1">{#N/A,#N/A,FALSE,"QC REVIEW"}</definedName>
    <definedName name="______________PR1" hidden="1">{#N/A,#N/A,FALSE,"QC REVIEW"}</definedName>
    <definedName name="______________pr11" hidden="1">{#N/A,#N/A,FALSE,"QC REVIEW"}</definedName>
    <definedName name="______________pr2" hidden="1">{#N/A,#N/A,FALSE,"QC REVIEW"}</definedName>
    <definedName name="______________pr3" hidden="1">{#N/A,#N/A,FALSE,"QC REVIEW"}</definedName>
    <definedName name="______________pr31" hidden="1">{#N/A,#N/A,FALSE,"QC REVIEW"}</definedName>
    <definedName name="______________pr4" hidden="1">{#N/A,#N/A,FALSE,"QC REVIEW"}</definedName>
    <definedName name="______________pr5" hidden="1">{#N/A,#N/A,FALSE,"QC REVIEW"}</definedName>
    <definedName name="______________prs3" hidden="1">{#N/A,#N/A,FALSE,"QC REVIEW"}</definedName>
    <definedName name="______________prs5" hidden="1">{#N/A,#N/A,FALSE,"QC REVIEW"}</definedName>
    <definedName name="______________rpt1">#REF!</definedName>
    <definedName name="______________rpt2">#REF!</definedName>
    <definedName name="______________s1">#REF!</definedName>
    <definedName name="______________SH3">#N/A</definedName>
    <definedName name="______________V2" hidden="1">{#N/A,#N/A,FALSE,"Tabl. A1";#N/A,#N/A,FALSE,"Tabl. A1 b";#N/A,#N/A,FALSE,"Tabl. A2";#N/A,#N/A,FALSE,"Tabl. A2-1";#N/A,#N/A,FALSE,"Tabl. A2-2"}</definedName>
    <definedName name="_____________A11" hidden="1">{#N/A,#N/A,FALSE,"Umsatz 99";#N/A,#N/A,FALSE,"ER 99 "}</definedName>
    <definedName name="_____________Ash1">#REF!</definedName>
    <definedName name="_____________BG1">#N/A</definedName>
    <definedName name="_____________c" hidden="1">{"Fiesta Facer Page",#N/A,FALSE,"Q_C_S";"Fiesta Main Page",#N/A,FALSE,"V_L";"Fiesta 95BP Struct",#N/A,FALSE,"StructBP";"Fiesta Post 95BP Struct",#N/A,FALSE,"AdjStructBP"}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6">#REF!</definedName>
    <definedName name="_____________DAT18">#REF!</definedName>
    <definedName name="_____________DAT19">#REF!</definedName>
    <definedName name="_____________DAT2">#REF!</definedName>
    <definedName name="_____________DAT20">#REF!</definedName>
    <definedName name="_____________DAT21">#REF!</definedName>
    <definedName name="_____________DAT22">#REF!</definedName>
    <definedName name="_____________DAT23">#REF!</definedName>
    <definedName name="_____________DAT24">#REF!</definedName>
    <definedName name="_____________DAT25">#REF!</definedName>
    <definedName name="_____________DAT26">#REF!</definedName>
    <definedName name="_____________DAT27">#REF!</definedName>
    <definedName name="_____________DAT28">#REF!</definedName>
    <definedName name="_____________DAT29">#REF!</definedName>
    <definedName name="_____________DAT3">#REF!</definedName>
    <definedName name="_____________DAT30">#REF!</definedName>
    <definedName name="_____________DAT33">#REF!</definedName>
    <definedName name="_____________DAT34">#REF!</definedName>
    <definedName name="_____________DAT35">#REF!</definedName>
    <definedName name="_____________DAT37">#REF!</definedName>
    <definedName name="_____________DAT4">#REF!</definedName>
    <definedName name="_____________DAT41">#REF!</definedName>
    <definedName name="_____________DAT42">#REF!</definedName>
    <definedName name="_____________DAT46">#REF!</definedName>
    <definedName name="_____________DAT47">#REF!</definedName>
    <definedName name="_____________DAT49">#REF!</definedName>
    <definedName name="_____________DAT5">#REF!</definedName>
    <definedName name="_____________DAT50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EC3" hidden="1">{#N/A,#N/A,FALSE,"QC REVIEW"}</definedName>
    <definedName name="_____________OP1">#REF!</definedName>
    <definedName name="_____________OP2">#REF!</definedName>
    <definedName name="_____________OP3">#REF!</definedName>
    <definedName name="_____________OP4">#REF!</definedName>
    <definedName name="_____________PR1" hidden="1">{#N/A,#N/A,FALSE,"QC REVIEW"}</definedName>
    <definedName name="_____________pr11" hidden="1">{#N/A,#N/A,FALSE,"QC REVIEW"}</definedName>
    <definedName name="_____________pr2" hidden="1">{#N/A,#N/A,FALSE,"QC REVIEW"}</definedName>
    <definedName name="_____________pr3" hidden="1">{#N/A,#N/A,FALSE,"QC REVIEW"}</definedName>
    <definedName name="_____________pr31" hidden="1">{#N/A,#N/A,FALSE,"QC REVIEW"}</definedName>
    <definedName name="_____________pr4" hidden="1">{#N/A,#N/A,FALSE,"QC REVIEW"}</definedName>
    <definedName name="_____________pr5" hidden="1">{#N/A,#N/A,FALSE,"QC REVIEW"}</definedName>
    <definedName name="_____________prs3" hidden="1">{#N/A,#N/A,FALSE,"QC REVIEW"}</definedName>
    <definedName name="_____________prs5" hidden="1">{#N/A,#N/A,FALSE,"QC REVIEW"}</definedName>
    <definedName name="_____________rpt1">#REF!</definedName>
    <definedName name="_____________rpt2">#REF!</definedName>
    <definedName name="_____________s1">#REF!</definedName>
    <definedName name="_____________SH3">#N/A</definedName>
    <definedName name="_____________V2" hidden="1">{#N/A,#N/A,FALSE,"Tabl. A1";#N/A,#N/A,FALSE,"Tabl. A1 b";#N/A,#N/A,FALSE,"Tabl. A2";#N/A,#N/A,FALSE,"Tabl. A2-1";#N/A,#N/A,FALSE,"Tabl. A2-2"}</definedName>
    <definedName name="____________A11" hidden="1">{#N/A,#N/A,FALSE,"Umsatz 99";#N/A,#N/A,FALSE,"ER 99 "}</definedName>
    <definedName name="____________A65536">#REF!</definedName>
    <definedName name="____________A65537">#REF!</definedName>
    <definedName name="____________a665536">#REF!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ACK1">#REF!</definedName>
    <definedName name="____________Ash1">#REF!</definedName>
    <definedName name="____________BG1">#N/A</definedName>
    <definedName name="____________c" hidden="1">{"Fiesta Facer Page",#N/A,FALSE,"Q_C_S";"Fiesta Main Page",#N/A,FALSE,"V_L";"Fiesta 95BP Struct",#N/A,FALSE,"StructBP";"Fiesta Post 95BP Struct",#N/A,FALSE,"AdjStructBP"}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17">#REF!</definedName>
    <definedName name="____________DAT18">#REF!</definedName>
    <definedName name="____________DAT19">#REF!</definedName>
    <definedName name="____________DAT2">#REF!</definedName>
    <definedName name="____________DAT20">#REF!</definedName>
    <definedName name="____________DAT21">#REF!</definedName>
    <definedName name="____________DAT22">#REF!</definedName>
    <definedName name="____________DAT23">#REF!</definedName>
    <definedName name="____________DAT24">#REF!</definedName>
    <definedName name="____________DAT25">#REF!</definedName>
    <definedName name="____________DAT26">#REF!</definedName>
    <definedName name="____________DAT27">#REF!</definedName>
    <definedName name="____________DAT28">#REF!</definedName>
    <definedName name="____________DAT29">#REF!</definedName>
    <definedName name="____________DAT3">#REF!</definedName>
    <definedName name="____________DAT30">#REF!</definedName>
    <definedName name="____________DAT31">#REF!</definedName>
    <definedName name="____________DAT32">#REF!</definedName>
    <definedName name="____________DAT33">#REF!</definedName>
    <definedName name="____________DAT34">#REF!</definedName>
    <definedName name="____________DAT35">#REF!</definedName>
    <definedName name="____________DAT36">#REF!</definedName>
    <definedName name="____________DAT37">#REF!</definedName>
    <definedName name="____________DAT38">#REF!</definedName>
    <definedName name="____________DAT39">#REF!</definedName>
    <definedName name="____________DAT4">#REF!</definedName>
    <definedName name="____________DAT40">#REF!</definedName>
    <definedName name="____________DAT41">#REF!</definedName>
    <definedName name="____________DAT42">#REF!</definedName>
    <definedName name="____________DAT43">#REF!</definedName>
    <definedName name="____________DAT44">#REF!</definedName>
    <definedName name="____________DAT45">#REF!</definedName>
    <definedName name="____________DAT46">#REF!</definedName>
    <definedName name="____________DAT47">#REF!</definedName>
    <definedName name="____________DAT48">#REF!</definedName>
    <definedName name="____________DAT49">#REF!</definedName>
    <definedName name="____________DAT5">#REF!</definedName>
    <definedName name="____________DAT50">#REF!</definedName>
    <definedName name="____________DAT56">#REF!</definedName>
    <definedName name="____________DAT57">#REF!</definedName>
    <definedName name="____________DAT58">#REF!</definedName>
    <definedName name="____________DAT59">#REF!</definedName>
    <definedName name="____________DAT6">#REF!</definedName>
    <definedName name="____________DAT60">#REF!</definedName>
    <definedName name="____________DAT61">#REF!</definedName>
    <definedName name="____________DAT62">#REF!</definedName>
    <definedName name="____________DAT63">#REF!</definedName>
    <definedName name="____________DAT64">#REF!</definedName>
    <definedName name="____________DAT65">#REF!</definedName>
    <definedName name="____________DAT66">#REF!</definedName>
    <definedName name="____________DAT67">#REF!</definedName>
    <definedName name="____________DAT68">#REF!</definedName>
    <definedName name="____________DAT69">#REF!</definedName>
    <definedName name="____________DAT7">#REF!</definedName>
    <definedName name="____________DAT70">#REF!</definedName>
    <definedName name="____________DAT71">#REF!</definedName>
    <definedName name="____________DAT8">#REF!</definedName>
    <definedName name="____________DAT9">#REF!</definedName>
    <definedName name="____________EC3" hidden="1">{#N/A,#N/A,FALSE,"QC REVIEW"}</definedName>
    <definedName name="____________MKT1">#REF!</definedName>
    <definedName name="____________MKT10">#REF!</definedName>
    <definedName name="____________MKT11">#REF!</definedName>
    <definedName name="____________MKT2">#REF!</definedName>
    <definedName name="____________MKT3">#REF!</definedName>
    <definedName name="____________MKT4">#REF!</definedName>
    <definedName name="____________MKT5">#REF!</definedName>
    <definedName name="____________MKT6">#REF!</definedName>
    <definedName name="____________MKT7">#REF!</definedName>
    <definedName name="____________MKT8">#REF!</definedName>
    <definedName name="____________MKT9">#REF!</definedName>
    <definedName name="____________OP1">#REF!</definedName>
    <definedName name="____________OP2">#REF!</definedName>
    <definedName name="____________OP3">#REF!</definedName>
    <definedName name="____________OP4">#REF!</definedName>
    <definedName name="____________P1">#REF!</definedName>
    <definedName name="____________PG2">#REF!</definedName>
    <definedName name="____________PG3">#REF!</definedName>
    <definedName name="____________PG4">#REF!</definedName>
    <definedName name="____________PG5">#REF!</definedName>
    <definedName name="____________PG6">#REF!</definedName>
    <definedName name="____________PG7">#REF!</definedName>
    <definedName name="____________PR1" hidden="1">{#N/A,#N/A,FALSE,"QC REVIEW"}</definedName>
    <definedName name="____________pr11" hidden="1">{#N/A,#N/A,FALSE,"QC REVIEW"}</definedName>
    <definedName name="____________pr2" hidden="1">{#N/A,#N/A,FALSE,"QC REVIEW"}</definedName>
    <definedName name="____________pr3" hidden="1">{#N/A,#N/A,FALSE,"QC REVIEW"}</definedName>
    <definedName name="____________pr31" hidden="1">{#N/A,#N/A,FALSE,"QC REVIEW"}</definedName>
    <definedName name="____________pr4" hidden="1">{#N/A,#N/A,FALSE,"QC REVIEW"}</definedName>
    <definedName name="____________pr5" hidden="1">{#N/A,#N/A,FALSE,"QC REVIEW"}</definedName>
    <definedName name="____________prs3" hidden="1">{#N/A,#N/A,FALSE,"QC REVIEW"}</definedName>
    <definedName name="____________prs5" hidden="1">{#N/A,#N/A,FALSE,"QC REVIEW"}</definedName>
    <definedName name="____________rpt1">#REF!</definedName>
    <definedName name="____________rpt2">#REF!</definedName>
    <definedName name="____________s1">#REF!</definedName>
    <definedName name="____________SH3">#N/A</definedName>
    <definedName name="____________V2" hidden="1">{#N/A,#N/A,FALSE,"Tabl. A1";#N/A,#N/A,FALSE,"Tabl. A1 b";#N/A,#N/A,FALSE,"Tabl. A2";#N/A,#N/A,FALSE,"Tabl. A2-1";#N/A,#N/A,FALSE,"Tabl. A2-2"}</definedName>
    <definedName name="____________wz1234">#REF!</definedName>
    <definedName name="____________z12" hidden="1">{"pro_view",#N/A,FALSE,"EEFSNAP2";"rep_view",#N/A,FALSE,"EEFSNAP2"}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A11" hidden="1">{#N/A,#N/A,FALSE,"Umsatz 99";#N/A,#N/A,FALSE,"ER 99 "}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Ash1">#REF!</definedName>
    <definedName name="___________BG1">#N/A</definedName>
    <definedName name="___________c" hidden="1">{"Fiesta Facer Page",#N/A,FALSE,"Q_C_S";"Fiesta Main Page",#N/A,FALSE,"V_L";"Fiesta 95BP Struct",#N/A,FALSE,"StructBP";"Fiesta Post 95BP Struct",#N/A,FALSE,"AdjStructBP"}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17">#REF!</definedName>
    <definedName name="___________DAT18">#REF!</definedName>
    <definedName name="___________DAT19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EC3" hidden="1">{#N/A,#N/A,FALSE,"QC REVIEW"}</definedName>
    <definedName name="___________EXP9192">#N/A</definedName>
    <definedName name="___________EXS8687">#N/A</definedName>
    <definedName name="___________EXS8990">#N/A</definedName>
    <definedName name="___________New1">#REF!</definedName>
    <definedName name="___________PR1" hidden="1">{#N/A,#N/A,FALSE,"QC REVIEW"}</definedName>
    <definedName name="___________pr11" hidden="1">{#N/A,#N/A,FALSE,"QC REVIEW"}</definedName>
    <definedName name="___________pr2" hidden="1">{#N/A,#N/A,FALSE,"QC REVIEW"}</definedName>
    <definedName name="___________pr3" hidden="1">{#N/A,#N/A,FALSE,"QC REVIEW"}</definedName>
    <definedName name="___________pr31" hidden="1">{#N/A,#N/A,FALSE,"QC REVIEW"}</definedName>
    <definedName name="___________pr4" hidden="1">{#N/A,#N/A,FALSE,"QC REVIEW"}</definedName>
    <definedName name="___________pr5" hidden="1">{#N/A,#N/A,FALSE,"QC REVIEW"}</definedName>
    <definedName name="___________prs3" hidden="1">{#N/A,#N/A,FALSE,"QC REVIEW"}</definedName>
    <definedName name="___________prs5" hidden="1">{#N/A,#N/A,FALSE,"QC REVIEW"}</definedName>
    <definedName name="___________rpt1">#REF!</definedName>
    <definedName name="___________rpt2">#REF!</definedName>
    <definedName name="___________s1">#REF!</definedName>
    <definedName name="___________SH3">#N/A</definedName>
    <definedName name="___________TOT1">#REF!</definedName>
    <definedName name="___________V2" hidden="1">{#N/A,#N/A,FALSE,"Tabl. A1";#N/A,#N/A,FALSE,"Tabl. A1 b";#N/A,#N/A,FALSE,"Tabl. A2";#N/A,#N/A,FALSE,"Tabl. A2-1";#N/A,#N/A,FALSE,"Tabl. A2-2"}</definedName>
    <definedName name="___________z12" hidden="1">{"pro_view",#N/A,FALSE,"EEFSNAP2";"rep_view",#N/A,FALSE,"EEFSNAP2"}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A11" hidden="1">{#N/A,#N/A,FALSE,"Umsatz 99";#N/A,#N/A,FALSE,"ER 99 "}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Ash1">#REF!</definedName>
    <definedName name="__________BG1">#N/A</definedName>
    <definedName name="__________c" hidden="1">{"Fiesta Facer Page",#N/A,FALSE,"Q_C_S";"Fiesta Main Page",#N/A,FALSE,"V_L";"Fiesta 95BP Struct",#N/A,FALSE,"StructBP";"Fiesta Post 95BP Struct",#N/A,FALSE,"AdjStructBP"}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19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EC3" hidden="1">{#N/A,#N/A,FALSE,"QC REVIEW"}</definedName>
    <definedName name="__________EXP9192">#N/A</definedName>
    <definedName name="__________EXS8687">#N/A</definedName>
    <definedName name="__________EXS8990">#N/A</definedName>
    <definedName name="__________New1">#REF!</definedName>
    <definedName name="__________PR1" hidden="1">{#N/A,#N/A,FALSE,"QC REVIEW"}</definedName>
    <definedName name="__________pr11" hidden="1">{#N/A,#N/A,FALSE,"QC REVIEW"}</definedName>
    <definedName name="__________pr2" hidden="1">{#N/A,#N/A,FALSE,"QC REVIEW"}</definedName>
    <definedName name="__________pr3" hidden="1">{#N/A,#N/A,FALSE,"QC REVIEW"}</definedName>
    <definedName name="__________pr31" hidden="1">{#N/A,#N/A,FALSE,"QC REVIEW"}</definedName>
    <definedName name="__________pr4" hidden="1">{#N/A,#N/A,FALSE,"QC REVIEW"}</definedName>
    <definedName name="__________pr5" hidden="1">{#N/A,#N/A,FALSE,"QC REVIEW"}</definedName>
    <definedName name="__________prs3" hidden="1">{#N/A,#N/A,FALSE,"QC REVIEW"}</definedName>
    <definedName name="__________prs5" hidden="1">{#N/A,#N/A,FALSE,"QC REVIEW"}</definedName>
    <definedName name="__________rpt1">#REF!</definedName>
    <definedName name="__________rpt2">#REF!</definedName>
    <definedName name="__________s1">#REF!</definedName>
    <definedName name="__________SH3">#N/A</definedName>
    <definedName name="__________TOT1">#REF!</definedName>
    <definedName name="__________V2" hidden="1">{#N/A,#N/A,FALSE,"Tabl. A1";#N/A,#N/A,FALSE,"Tabl. A1 b";#N/A,#N/A,FALSE,"Tabl. A2";#N/A,#N/A,FALSE,"Tabl. A2-1";#N/A,#N/A,FALSE,"Tabl. A2-2"}</definedName>
    <definedName name="__________wz1234">#REF!</definedName>
    <definedName name="__________z12" hidden="1">{"pro_view",#N/A,FALSE,"EEFSNAP2";"rep_view",#N/A,FALSE,"EEFSNAP2"}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A11" hidden="1">{#N/A,#N/A,FALSE,"Umsatz 99";#N/A,#N/A,FALSE,"ER 99 "}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Ash1">#REF!</definedName>
    <definedName name="_________BG1">#N/A</definedName>
    <definedName name="_________c" hidden="1">{"Fiesta Facer Page",#N/A,FALSE,"Q_C_S";"Fiesta Main Page",#N/A,FALSE,"V_L";"Fiesta 95BP Struct",#N/A,FALSE,"StructBP";"Fiesta Post 95BP Struct",#N/A,FALSE,"AdjStructBP"}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EC3" hidden="1">{#N/A,#N/A,FALSE,"QC REVIEW"}</definedName>
    <definedName name="_________EXP9192">#N/A</definedName>
    <definedName name="_________EXS8687">#N/A</definedName>
    <definedName name="_________EXS8990">#N/A</definedName>
    <definedName name="_________New1">#REF!</definedName>
    <definedName name="_________PR1" hidden="1">{#N/A,#N/A,FALSE,"QC REVIEW"}</definedName>
    <definedName name="_________pr11" hidden="1">{#N/A,#N/A,FALSE,"QC REVIEW"}</definedName>
    <definedName name="_________pr2" hidden="1">{#N/A,#N/A,FALSE,"QC REVIEW"}</definedName>
    <definedName name="_________pr3" hidden="1">{#N/A,#N/A,FALSE,"QC REVIEW"}</definedName>
    <definedName name="_________pr31" hidden="1">{#N/A,#N/A,FALSE,"QC REVIEW"}</definedName>
    <definedName name="_________pr4" hidden="1">{#N/A,#N/A,FALSE,"QC REVIEW"}</definedName>
    <definedName name="_________pr5" hidden="1">{#N/A,#N/A,FALSE,"QC REVIEW"}</definedName>
    <definedName name="_________prs3" hidden="1">{#N/A,#N/A,FALSE,"QC REVIEW"}</definedName>
    <definedName name="_________prs5" hidden="1">{#N/A,#N/A,FALSE,"QC REVIEW"}</definedName>
    <definedName name="_________rpt1">#REF!</definedName>
    <definedName name="_________rpt2">#REF!</definedName>
    <definedName name="_________s1">#REF!</definedName>
    <definedName name="_________SH3">#N/A</definedName>
    <definedName name="_________TOT1">#REF!</definedName>
    <definedName name="_________V2" hidden="1">{#N/A,#N/A,FALSE,"Tabl. A1";#N/A,#N/A,FALSE,"Tabl. A1 b";#N/A,#N/A,FALSE,"Tabl. A2";#N/A,#N/A,FALSE,"Tabl. A2-1";#N/A,#N/A,FALSE,"Tabl. A2-2"}</definedName>
    <definedName name="_________z12" hidden="1">{"pro_view",#N/A,FALSE,"EEFSNAP2";"rep_view",#N/A,FALSE,"EEFSNAP2"}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A11" hidden="1">{#N/A,#N/A,FALSE,"Umsatz 99";#N/A,#N/A,FALSE,"ER 99 "}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Ash1">#REF!</definedName>
    <definedName name="________BG1">#N/A</definedName>
    <definedName name="________c" hidden="1">{"Fiesta Facer Page",#N/A,FALSE,"Q_C_S";"Fiesta Main Page",#N/A,FALSE,"V_L";"Fiesta 95BP Struct",#N/A,FALSE,"StructBP";"Fiesta Post 95BP Struct",#N/A,FALSE,"AdjStructBP"}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EC3" hidden="1">{#N/A,#N/A,FALSE,"QC REVIEW"}</definedName>
    <definedName name="________EXP9192">#N/A</definedName>
    <definedName name="________EXS8687">#N/A</definedName>
    <definedName name="________EXS8990">#N/A</definedName>
    <definedName name="________New1">#REF!</definedName>
    <definedName name="________PR1" hidden="1">{#N/A,#N/A,FALSE,"QC REVIEW"}</definedName>
    <definedName name="________pr11" hidden="1">{#N/A,#N/A,FALSE,"QC REVIEW"}</definedName>
    <definedName name="________pr2" hidden="1">{#N/A,#N/A,FALSE,"QC REVIEW"}</definedName>
    <definedName name="________pr3" hidden="1">{#N/A,#N/A,FALSE,"QC REVIEW"}</definedName>
    <definedName name="________pr31" hidden="1">{#N/A,#N/A,FALSE,"QC REVIEW"}</definedName>
    <definedName name="________pr4" hidden="1">{#N/A,#N/A,FALSE,"QC REVIEW"}</definedName>
    <definedName name="________pr5" hidden="1">{#N/A,#N/A,FALSE,"QC REVIEW"}</definedName>
    <definedName name="________prs3" hidden="1">{#N/A,#N/A,FALSE,"QC REVIEW"}</definedName>
    <definedName name="________prs5" hidden="1">{#N/A,#N/A,FALSE,"QC REVIEW"}</definedName>
    <definedName name="________rpt1">#REF!</definedName>
    <definedName name="________rpt2">#REF!</definedName>
    <definedName name="________s1">#REF!</definedName>
    <definedName name="________SH3">#N/A</definedName>
    <definedName name="________TOT1">#REF!</definedName>
    <definedName name="________V2" hidden="1">{#N/A,#N/A,FALSE,"Tabl. A1";#N/A,#N/A,FALSE,"Tabl. A1 b";#N/A,#N/A,FALSE,"Tabl. A2";#N/A,#N/A,FALSE,"Tabl. A2-1";#N/A,#N/A,FALSE,"Tabl. A2-2"}</definedName>
    <definedName name="________wz1234">#REF!</definedName>
    <definedName name="________z12" hidden="1">{"pro_view",#N/A,FALSE,"EEFSNAP2";"rep_view",#N/A,FALSE,"EEFSNAP2"}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A11" hidden="1">{#N/A,#N/A,FALSE,"Umsatz 99";#N/A,#N/A,FALSE,"ER 99 "}</definedName>
    <definedName name="_______abc1" hidden="1">{"detail",#N/A,FALSE,"mfg";"summary",#N/A,FALSE,"mfg"}</definedName>
    <definedName name="_______abc2" hidden="1">{"detail",#N/A,FALSE,"mfg";"summary",#N/A,FALSE,"mfg"}</definedName>
    <definedName name="_______Ash1">#REF!</definedName>
    <definedName name="_______BG1">#N/A</definedName>
    <definedName name="_______c" hidden="1">{"Fiesta Facer Page",#N/A,FALSE,"Q_C_S";"Fiesta Main Page",#N/A,FALSE,"V_L";"Fiesta 95BP Struct",#N/A,FALSE,"StructBP";"Fiesta Post 95BP Struct",#N/A,FALSE,"AdjStructBP"}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EC3" hidden="1">{#N/A,#N/A,FALSE,"QC REVIEW"}</definedName>
    <definedName name="_______EXP9192">#N/A</definedName>
    <definedName name="_______EXS8687">#N/A</definedName>
    <definedName name="_______EXS8990">#N/A</definedName>
    <definedName name="_______GRP1">OFFSET(#REF!,0,0,COUNTA(#REF!),1)</definedName>
    <definedName name="_______New1">#REF!</definedName>
    <definedName name="_______pg3">#REF!</definedName>
    <definedName name="_______pg7">#REF!</definedName>
    <definedName name="_______pg9">#REF!</definedName>
    <definedName name="_______PR1" hidden="1">{#N/A,#N/A,FALSE,"QC REVIEW"}</definedName>
    <definedName name="_______pr11" hidden="1">{#N/A,#N/A,FALSE,"QC REVIEW"}</definedName>
    <definedName name="_______pr2" hidden="1">{#N/A,#N/A,FALSE,"QC REVIEW"}</definedName>
    <definedName name="_______pr3" hidden="1">{#N/A,#N/A,FALSE,"QC REVIEW"}</definedName>
    <definedName name="_______pr31" hidden="1">{#N/A,#N/A,FALSE,"QC REVIEW"}</definedName>
    <definedName name="_______pr4" hidden="1">{#N/A,#N/A,FALSE,"QC REVIEW"}</definedName>
    <definedName name="_______pr5" hidden="1">{#N/A,#N/A,FALSE,"QC REVIEW"}</definedName>
    <definedName name="_______prs3" hidden="1">{#N/A,#N/A,FALSE,"QC REVIEW"}</definedName>
    <definedName name="_______prs5" hidden="1">{#N/A,#N/A,FALSE,"QC REVIEW"}</definedName>
    <definedName name="_______RED04">#REF!</definedName>
    <definedName name="_______rpt1">#REF!</definedName>
    <definedName name="_______rpt2">#REF!</definedName>
    <definedName name="_______s1">#REF!</definedName>
    <definedName name="_______SH3">#N/A</definedName>
    <definedName name="_______TOT1">#REF!</definedName>
    <definedName name="_______V2" hidden="1">{#N/A,#N/A,FALSE,"Tabl. A1";#N/A,#N/A,FALSE,"Tabl. A1 b";#N/A,#N/A,FALSE,"Tabl. A2";#N/A,#N/A,FALSE,"Tabl. A2-1";#N/A,#N/A,FALSE,"Tabl. A2-2"}</definedName>
    <definedName name="_______wz1234">#REF!</definedName>
    <definedName name="_______z12" hidden="1">{"pro_view",#N/A,FALSE,"EEFSNAP2";"rep_view",#N/A,FALSE,"EEFSNAP2"}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a1" hidden="1">{#N/A,#N/A,FALSE,"Pharm";#N/A,#N/A,FALSE,"WWCM"}</definedName>
    <definedName name="______A11" hidden="1">{#N/A,#N/A,FALSE,"Umsatz 99";#N/A,#N/A,FALSE,"ER 99 "}</definedName>
    <definedName name="______aaa1" hidden="1">{#N/A,#N/A,FALSE,"REPORT"}</definedName>
    <definedName name="______aas1" hidden="1">{#N/A,#N/A,FALSE,"REPORT"}</definedName>
    <definedName name="______ACS2000" hidden="1">{#N/A,#N/A,FALSE,"REPORT"}</definedName>
    <definedName name="______Ash1">#REF!</definedName>
    <definedName name="______b111" hidden="1">{#N/A,#N/A,FALSE,"Pharm";#N/A,#N/A,FALSE,"WWCM"}</definedName>
    <definedName name="______BG1">#N/A</definedName>
    <definedName name="______c" hidden="1">{"Fiesta Facer Page",#N/A,FALSE,"Q_C_S";"Fiesta Main Page",#N/A,FALSE,"V_L";"Fiesta 95BP Struct",#N/A,FALSE,"StructBP";"Fiesta Post 95BP Struct",#N/A,FALSE,"AdjStructBP"}</definedName>
    <definedName name="______cat1">#REF!</definedName>
    <definedName name="______cat2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EC3" hidden="1">{#N/A,#N/A,FALSE,"QC REVIEW"}</definedName>
    <definedName name="______EXP9192">#N/A</definedName>
    <definedName name="______EXS8687">#N/A</definedName>
    <definedName name="______EXS8990">#N/A</definedName>
    <definedName name="______FOR91">#REF!</definedName>
    <definedName name="______fre2">#REF!</definedName>
    <definedName name="______GIR89">#REF!</definedName>
    <definedName name="______GIR90">#REF!</definedName>
    <definedName name="______GRP1">OFFSET(#REF!,0,0,COUNTA(#REF!),1)</definedName>
    <definedName name="______L" hidden="1">{"'OBT_6M_30_6'!$S$1:$AE$53"}</definedName>
    <definedName name="______MC1" hidden="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____New1">#REF!</definedName>
    <definedName name="______NSO2" hidden="1">{"'Sheet1'!$L$16"}</definedName>
    <definedName name="______O1" hidden="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______OS1" hidden="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____PG6">#REF!</definedName>
    <definedName name="______PR1" hidden="1">{#N/A,#N/A,FALSE,"QC REVIEW"}</definedName>
    <definedName name="______pr11" hidden="1">{#N/A,#N/A,FALSE,"QC REVIEW"}</definedName>
    <definedName name="______pr2" hidden="1">{#N/A,#N/A,FALSE,"QC REVIEW"}</definedName>
    <definedName name="______pr3" hidden="1">{#N/A,#N/A,FALSE,"QC REVIEW"}</definedName>
    <definedName name="______pr31" hidden="1">{#N/A,#N/A,FALSE,"QC REVIEW"}</definedName>
    <definedName name="______pr4" hidden="1">{#N/A,#N/A,FALSE,"QC REVIEW"}</definedName>
    <definedName name="______pr5" hidden="1">{#N/A,#N/A,FALSE,"QC REVIEW"}</definedName>
    <definedName name="______prs3" hidden="1">{#N/A,#N/A,FALSE,"QC REVIEW"}</definedName>
    <definedName name="______prs5" hidden="1">{#N/A,#N/A,FALSE,"QC REVIEW"}</definedName>
    <definedName name="______r" hidden="1">{#N/A,#N/A,FALSE,"Pharm";#N/A,#N/A,FALSE,"WWCM"}</definedName>
    <definedName name="______R3_t">#N/A</definedName>
    <definedName name="______RED04">#REF!</definedName>
    <definedName name="______rpt1">#REF!</definedName>
    <definedName name="______rpt2">#REF!</definedName>
    <definedName name="______s1">#REF!</definedName>
    <definedName name="______s3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____SH3">#N/A</definedName>
    <definedName name="______tm1" hidden="1">{#N/A,#N/A,FALSE,"Pharm";#N/A,#N/A,FALSE,"WWCM"}</definedName>
    <definedName name="______TOT1">#REF!</definedName>
    <definedName name="______V2" hidden="1">{#N/A,#N/A,FALSE,"Tabl. A1";#N/A,#N/A,FALSE,"Tabl. A1 b";#N/A,#N/A,FALSE,"Tabl. A2";#N/A,#N/A,FALSE,"Tabl. A2-1";#N/A,#N/A,FALSE,"Tabl. A2-2"}</definedName>
    <definedName name="______wz1234">#REF!</definedName>
    <definedName name="______X2" hidden="1">{#N/A,#N/A,FALSE,"Other";#N/A,#N/A,FALSE,"Ace";#N/A,#N/A,FALSE,"Derm"}</definedName>
    <definedName name="_____a1">{#N/A,#N/A,FALSE,"John TTL";#N/A,#N/A,FALSE,"BANKCARD ADM";#N/A,#N/A,FALSE,"BANKCARD MKT TTL";#N/A,#N/A,FALSE,"CARDPHONE CENTER";#N/A,#N/A,FALSE,"CCSI NEW APP";#N/A,#N/A,FALSE,"BANKCARD CREDIT";#N/A,#N/A,FALSE,"CCSI OPS";#N/A,#N/A,FALSE,"card other";#N/A,#N/A,FALSE,"co brand"}</definedName>
    <definedName name="_____A11" hidden="1">{#N/A,#N/A,FALSE,"Umsatz 99";#N/A,#N/A,FALSE,"ER 99 "}</definedName>
    <definedName name="_____a65554">#REF!</definedName>
    <definedName name="_____a65600">#REF!</definedName>
    <definedName name="_____a65700">#REF!</definedName>
    <definedName name="_____a65800">#REF!</definedName>
    <definedName name="_____a66000">#REF!</definedName>
    <definedName name="_____abc1" hidden="1">{"detail",#N/A,FALSE,"mfg";"summary",#N/A,FALSE,"mfg"}</definedName>
    <definedName name="_____abc2" hidden="1">{"detail",#N/A,FALSE,"mfg";"summary",#N/A,FALSE,"mfg"}</definedName>
    <definedName name="_____adh10">#REF!</definedName>
    <definedName name="_____adh26">#REF!</definedName>
    <definedName name="_____ads10">#REF!</definedName>
    <definedName name="_____ads26">#REF!</definedName>
    <definedName name="_____Ash1">#REF!</definedName>
    <definedName name="_____BG1">#N/A</definedName>
    <definedName name="_____c" hidden="1">{"Fiesta Facer Page",#N/A,FALSE,"Q_C_S";"Fiesta Main Page",#N/A,FALSE,"V_L";"Fiesta 95BP Struct",#N/A,FALSE,"StructBP";"Fiesta Post 95BP Struct",#N/A,FALSE,"AdjStructBP"}</definedName>
    <definedName name="_____cat1">#REF!</definedName>
    <definedName name="_____cat2">#REF!</definedName>
    <definedName name="_____col13">#REF!</definedName>
    <definedName name="_____col2">#REF!</definedName>
    <definedName name="_____col3">#REF!</definedName>
    <definedName name="_____col4">#REF!</definedName>
    <definedName name="_____col5">#REF!</definedName>
    <definedName name="_____col6">#REF!</definedName>
    <definedName name="_____col7">#REF!</definedName>
    <definedName name="_____col9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EC3" hidden="1">{#N/A,#N/A,FALSE,"QC REVIEW"}</definedName>
    <definedName name="_____EXP9192">#N/A</definedName>
    <definedName name="_____EXS8687">#N/A</definedName>
    <definedName name="_____EXS8990">#N/A</definedName>
    <definedName name="_____FOR91">#REF!</definedName>
    <definedName name="_____fre2">#REF!</definedName>
    <definedName name="_____g1" hidden="1">{"'August 2000'!$A$1:$J$101"}</definedName>
    <definedName name="_____GIR89">#REF!</definedName>
    <definedName name="_____GIR90">#REF!</definedName>
    <definedName name="_____GRP1">OFFSET(#REF!,0,0,COUNTA(#REF!),1)</definedName>
    <definedName name="_____iv65537">#REF!</definedName>
    <definedName name="_____iv65540">#REF!</definedName>
    <definedName name="_____L" hidden="1">{"'OBT_6M_30_6'!$S$1:$AE$53"}</definedName>
    <definedName name="_____MAM1">#REF!</definedName>
    <definedName name="_____MAR9091">#REF!</definedName>
    <definedName name="_____mbc2" hidden="1">{#N/A,#N/A,FALSE,"QC REVIEW"}</definedName>
    <definedName name="_____New1">#REF!</definedName>
    <definedName name="_____PG1">#REF!</definedName>
    <definedName name="_____PG2">#REF!</definedName>
    <definedName name="_____PG3">#REF!</definedName>
    <definedName name="_____pg4">#REF!</definedName>
    <definedName name="_____pg5">#REF!</definedName>
    <definedName name="_____PG6">#REF!</definedName>
    <definedName name="_____PG7">#REF!</definedName>
    <definedName name="_____PG8">#REF!</definedName>
    <definedName name="_____PR1" hidden="1">{#N/A,#N/A,FALSE,"QC REVIEW"}</definedName>
    <definedName name="_____pr11" hidden="1">{#N/A,#N/A,FALSE,"QC REVIEW"}</definedName>
    <definedName name="_____pr2" hidden="1">{#N/A,#N/A,FALSE,"QC REVIEW"}</definedName>
    <definedName name="_____pr3" hidden="1">{#N/A,#N/A,FALSE,"QC REVIEW"}</definedName>
    <definedName name="_____pr31" hidden="1">{#N/A,#N/A,FALSE,"QC REVIEW"}</definedName>
    <definedName name="_____pr4" hidden="1">{#N/A,#N/A,FALSE,"QC REVIEW"}</definedName>
    <definedName name="_____pr5" hidden="1">{#N/A,#N/A,FALSE,"QC REVIEW"}</definedName>
    <definedName name="_____prs3" hidden="1">{#N/A,#N/A,FALSE,"QC REVIEW"}</definedName>
    <definedName name="_____prs5" hidden="1">{#N/A,#N/A,FALSE,"QC REVIEW"}</definedName>
    <definedName name="_____qtr4">#REF!</definedName>
    <definedName name="_____RED04">#REF!</definedName>
    <definedName name="_____rpt1">#REF!</definedName>
    <definedName name="_____rpt2">#REF!</definedName>
    <definedName name="_____s1">#REF!</definedName>
    <definedName name="_____sep97">#REF!</definedName>
    <definedName name="_____SH3">#N/A</definedName>
    <definedName name="_____TOT1">#REF!</definedName>
    <definedName name="_____V2" hidden="1">{#N/A,#N/A,FALSE,"Tabl. A1";#N/A,#N/A,FALSE,"Tabl. A1 b";#N/A,#N/A,FALSE,"Tabl. A2";#N/A,#N/A,FALSE,"Tabl. A2-1";#N/A,#N/A,FALSE,"Tabl. A2-2"}</definedName>
    <definedName name="_____wz1234">#REF!</definedName>
    <definedName name="_____z12" hidden="1">{"pro_view",#N/A,FALSE,"EEFSNAP2";"rep_view",#N/A,FALSE,"EEFSNAP2"}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1_Excel_BuiltIn_Print_Area_1">#REF!</definedName>
    <definedName name="____2_Excel_BuiltIn_Print_Area_4_1">#REF!</definedName>
    <definedName name="____3_Excel_BuiltIn_Print_Area_5_1">#REF!</definedName>
    <definedName name="____4_Excel_BuiltIn_Print_Area_8_1">#REF!</definedName>
    <definedName name="____5Excel_BuiltIn_Print_Area_1">#REF!</definedName>
    <definedName name="____6Excel_BuiltIn_Print_Area_4_1">#REF!</definedName>
    <definedName name="____7Excel_BuiltIn_Print_Area_5_1">#REF!</definedName>
    <definedName name="____8Excel_BuiltIn_Print_Area_8_1">#REF!</definedName>
    <definedName name="____a1">{#N/A,#N/A,FALSE,"John TTL";#N/A,#N/A,FALSE,"BANKCARD ADM";#N/A,#N/A,FALSE,"BANKCARD MKT TTL";#N/A,#N/A,FALSE,"CARDPHONE CENTER";#N/A,#N/A,FALSE,"CCSI NEW APP";#N/A,#N/A,FALSE,"BANKCARD CREDIT";#N/A,#N/A,FALSE,"CCSI OPS";#N/A,#N/A,FALSE,"card other";#N/A,#N/A,FALSE,"co brand"}</definedName>
    <definedName name="____A11" hidden="1">{#N/A,#N/A,FALSE,"Umsatz 99";#N/A,#N/A,FALSE,"ER 99 "}</definedName>
    <definedName name="____a65554">#REF!</definedName>
    <definedName name="____a65600">#REF!</definedName>
    <definedName name="____a65700">#REF!</definedName>
    <definedName name="____a65800">#REF!</definedName>
    <definedName name="____a66000">#REF!</definedName>
    <definedName name="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aba2">#REF!</definedName>
    <definedName name="____abc1" hidden="1">{"detail",#N/A,FALSE,"mfg";"summary",#N/A,FALSE,"mfg"}</definedName>
    <definedName name="____abc2" hidden="1">{"detail",#N/A,FALSE,"mfg";"summary",#N/A,FALSE,"mfg"}</definedName>
    <definedName name="____ACK2">#REF!</definedName>
    <definedName name="____adh10">#REF!</definedName>
    <definedName name="____adh26">#REF!</definedName>
    <definedName name="____ads10">#REF!</definedName>
    <definedName name="____ads26">#REF!</definedName>
    <definedName name="____ann3">#REF!</definedName>
    <definedName name="____as3" hidden="1">#REF!</definedName>
    <definedName name="____Ash1">#REF!</definedName>
    <definedName name="____BG1">#N/A</definedName>
    <definedName name="____BSP1">#REF!</definedName>
    <definedName name="____BSP2">#REF!</definedName>
    <definedName name="____c" hidden="1">{"Fiesta Facer Page",#N/A,FALSE,"Q_C_S";"Fiesta Main Page",#N/A,FALSE,"V_L";"Fiesta 95BP Struct",#N/A,FALSE,"StructBP";"Fiesta Post 95BP Struct",#N/A,FALSE,"AdjStructBP"}</definedName>
    <definedName name="____cat1">#REF!</definedName>
    <definedName name="____cat2">#REF!</definedName>
    <definedName name="____col1">#REF!</definedName>
    <definedName name="____col10">#REF!</definedName>
    <definedName name="____col11">#REF!</definedName>
    <definedName name="____col12">#REF!</definedName>
    <definedName name="____col13">#REF!</definedName>
    <definedName name="____col2">#REF!</definedName>
    <definedName name="____col3">#REF!</definedName>
    <definedName name="____col4">#REF!</definedName>
    <definedName name="____col5">#REF!</definedName>
    <definedName name="____col6">#REF!</definedName>
    <definedName name="____col7">#REF!</definedName>
    <definedName name="____col8">#REF!</definedName>
    <definedName name="____col9">#REF!</definedName>
    <definedName name="____crt7562l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>#REF!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65">#REF!</definedName>
    <definedName name="____DAT66">#REF!</definedName>
    <definedName name="____DAT7">#REF!</definedName>
    <definedName name="____DAT8">#REF!</definedName>
    <definedName name="____DAT9">#REF!</definedName>
    <definedName name="____EC3" hidden="1">{#N/A,#N/A,FALSE,"QC REVIEW"}</definedName>
    <definedName name="____EXP9192">#N/A</definedName>
    <definedName name="____EXS8687">#N/A</definedName>
    <definedName name="____EXS8990">#N/A</definedName>
    <definedName name="____f3" hidden="1">{#N/A,#N/A,FALSE,"Aging Summary";#N/A,#N/A,FALSE,"Ratio Analysis";#N/A,#N/A,FALSE,"Test 120 Day Accts";#N/A,#N/A,FALSE,"Tickmarks"}</definedName>
    <definedName name="____f4" hidden="1">{#N/A,#N/A,FALSE,"Aging Summary";#N/A,#N/A,FALSE,"Ratio Analysis";#N/A,#N/A,FALSE,"Test 120 Day Accts";#N/A,#N/A,FALSE,"Tickmarks"}</definedName>
    <definedName name="____fb3" hidden="1">{#N/A,#N/A,FALSE,"Full";#N/A,#N/A,FALSE,"Half";#N/A,#N/A,FALSE,"Op Expenses";#N/A,#N/A,FALSE,"Cap Charge";#N/A,#N/A,FALSE,"Cost C";#N/A,#N/A,FALSE,"PP&amp;E";#N/A,#N/A,FALSE,"R&amp;D"}</definedName>
    <definedName name="____fco2" hidden="1">{#N/A,#N/A,FALSE,"gc (2)"}</definedName>
    <definedName name="____FOR91">#REF!</definedName>
    <definedName name="____fre2">#REF!</definedName>
    <definedName name="____GIR89">#REF!</definedName>
    <definedName name="____GIR90">#REF!</definedName>
    <definedName name="____GRP1">OFFSET(#REF!,0,0,COUNTA(#REF!),1)</definedName>
    <definedName name="____Grp12">#REF!</definedName>
    <definedName name="____Grp13">#REF!</definedName>
    <definedName name="____Grp14">#REF!</definedName>
    <definedName name="____Grp15">#REF!</definedName>
    <definedName name="____Grp16" hidden="1">{#N/A,#N/A,FALSE,"PMTABB";#N/A,#N/A,FALSE,"PMTABB"}</definedName>
    <definedName name="____GRP2">OFFSET(#REF!,0,0,COUNTA(#REF!),1)</definedName>
    <definedName name="____inv1">#REF!</definedName>
    <definedName name="____inv2">#REF!</definedName>
    <definedName name="____iv65537">#REF!</definedName>
    <definedName name="____iv65540">#REF!</definedName>
    <definedName name="____JAI1">#REF!</definedName>
    <definedName name="____JAI2">#REF!</definedName>
    <definedName name="____JAI3">#REF!</definedName>
    <definedName name="____KEY2" hidden="1">#REF!</definedName>
    <definedName name="____KJ1">#REF!</definedName>
    <definedName name="____KJ2">#REF!</definedName>
    <definedName name="____KJ3">#REF!</definedName>
    <definedName name="____KJ4">#REF!</definedName>
    <definedName name="____KJ5">#REF!</definedName>
    <definedName name="____L" hidden="1">{"'OBT_6M_30_6'!$S$1:$AE$53"}</definedName>
    <definedName name="____m1000000">#REF!</definedName>
    <definedName name="____ma67">#REF!</definedName>
    <definedName name="____ma71">#REF!</definedName>
    <definedName name="____ma74">#REF!</definedName>
    <definedName name="____MAM1">#REF!</definedName>
    <definedName name="____MAR9091">#REF!</definedName>
    <definedName name="____mbc2" hidden="1">{#N/A,#N/A,FALSE,"QC REVIEW"}</definedName>
    <definedName name="____MC1" hidden="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__New1">#REF!</definedName>
    <definedName name="____NSO2" hidden="1">{"'Sheet1'!$L$16"}</definedName>
    <definedName name="____O1" hidden="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____OS1" hidden="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__P1">#REF!</definedName>
    <definedName name="____PG1">#REF!</definedName>
    <definedName name="____PG10">#REF!</definedName>
    <definedName name="____PG11">#REF!</definedName>
    <definedName name="____PG12">#REF!</definedName>
    <definedName name="____pg14">#REF!</definedName>
    <definedName name="____PG2">#REF!</definedName>
    <definedName name="____pg3">#REF!</definedName>
    <definedName name="____PG4">#REF!</definedName>
    <definedName name="____pg45">#REF!</definedName>
    <definedName name="____PG5">#REF!</definedName>
    <definedName name="____PG6">#REF!</definedName>
    <definedName name="____pg7">#REF!</definedName>
    <definedName name="____PG8">#REF!</definedName>
    <definedName name="____pg9">#REF!</definedName>
    <definedName name="____PGE1">#REF!</definedName>
    <definedName name="____PGE10">#REF!</definedName>
    <definedName name="____PGE2">#REF!</definedName>
    <definedName name="____PGE3">#REF!</definedName>
    <definedName name="____PGE4">#REF!</definedName>
    <definedName name="____PGE5">#REF!</definedName>
    <definedName name="____PGE6">#REF!</definedName>
    <definedName name="____PGE7">#REF!</definedName>
    <definedName name="____PGE8">#REF!</definedName>
    <definedName name="____PGE9">#REF!</definedName>
    <definedName name="____PR1" hidden="1">{#N/A,#N/A,FALSE,"QC REVIEW"}</definedName>
    <definedName name="____pr11" hidden="1">{#N/A,#N/A,FALSE,"QC REVIEW"}</definedName>
    <definedName name="____pr2" hidden="1">{#N/A,#N/A,FALSE,"QC REVIEW"}</definedName>
    <definedName name="____pr3" hidden="1">{#N/A,#N/A,FALSE,"QC REVIEW"}</definedName>
    <definedName name="____pr31" hidden="1">{#N/A,#N/A,FALSE,"QC REVIEW"}</definedName>
    <definedName name="____pr4" hidden="1">{#N/A,#N/A,FALSE,"QC REVIEW"}</definedName>
    <definedName name="____pr5" hidden="1">{#N/A,#N/A,FALSE,"QC REVIEW"}</definedName>
    <definedName name="____prs3" hidden="1">{#N/A,#N/A,FALSE,"QC REVIEW"}</definedName>
    <definedName name="____prs5" hidden="1">{#N/A,#N/A,FALSE,"QC REVIEW"}</definedName>
    <definedName name="____qtr4">#REF!</definedName>
    <definedName name="____ram1" hidden="1">{#N/A,#N/A,FALSE,"gc (2)"}</definedName>
    <definedName name="____RAM7">#REF!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ED04">#REF!</definedName>
    <definedName name="____rpt1">#REF!</definedName>
    <definedName name="____rpt2">#REF!</definedName>
    <definedName name="____s1">#REF!</definedName>
    <definedName name="____s3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__SCH1">#REF!</definedName>
    <definedName name="____sch2">#REF!</definedName>
    <definedName name="____sch3">#REF!</definedName>
    <definedName name="____sch4">#REF!</definedName>
    <definedName name="____sch5">#REF!</definedName>
    <definedName name="____sch6">#REF!</definedName>
    <definedName name="____sch7">#REF!</definedName>
    <definedName name="____sch81">#REF!</definedName>
    <definedName name="____sch82">#REF!</definedName>
    <definedName name="____sch83">#REF!</definedName>
    <definedName name="____sch84">#REF!</definedName>
    <definedName name="____sep97">#REF!</definedName>
    <definedName name="____SH3">#N/A</definedName>
    <definedName name="____sht1">#REF!</definedName>
    <definedName name="____sti02" hidden="1">{#N/A,#N/A,FALSE,"gc (2)"}</definedName>
    <definedName name="___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a1" hidden="1">{#N/A,#N/A,TRUE,"Financials";#N/A,#N/A,TRUE,"Operating Statistics";#N/A,#N/A,TRUE,"Capex &amp; Depreciation";#N/A,#N/A,TRUE,"Debt"}</definedName>
    <definedName name="____tb1" hidden="1">{#N/A,#N/A,FALSE,"One Pager";#N/A,#N/A,FALSE,"Technical"}</definedName>
    <definedName name="____tlt1">#REF!</definedName>
    <definedName name="____TOT1">#REF!</definedName>
    <definedName name="____V2" hidden="1">{#N/A,#N/A,FALSE,"Tabl. A1";#N/A,#N/A,FALSE,"Tabl. A1 b";#N/A,#N/A,FALSE,"Tabl. A2";#N/A,#N/A,FALSE,"Tabl. A2-1";#N/A,#N/A,FALSE,"Tabl. A2-2"}</definedName>
    <definedName name="____wd1" hidden="1">{#N/A,#N/A,FALSE,"Aging Summary";#N/A,#N/A,FALSE,"Ratio Analysis";#N/A,#N/A,FALSE,"Test 120 Day Accts";#N/A,#N/A,FALSE,"Tickmarks"}</definedName>
    <definedName name="____wz1234">#REF!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12" hidden="1">{"pro_view",#N/A,FALSE,"EEFSNAP2";"rep_view",#N/A,FALSE,"EEFSNAP2"}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x3">#REF!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1">#REF!</definedName>
    <definedName name="___1_____Excel_BuiltIn_Print_Area_1">#REF!</definedName>
    <definedName name="___1_Excel_BuiltIn_Print_Area_1">#REF!</definedName>
    <definedName name="___10___Excel_BuiltIn_Print_Area_4_1">#REF!</definedName>
    <definedName name="___11___Excel_BuiltIn_Print_Area_5_1">#REF!</definedName>
    <definedName name="___12___Excel_BuiltIn_Print_Area_8_1">#REF!</definedName>
    <definedName name="___13__Excel_BuiltIn_Print_Area_1">#REF!</definedName>
    <definedName name="___14__Excel_BuiltIn_Print_Area_4_1">#REF!</definedName>
    <definedName name="___15__Excel_BuiltIn_Print_Area_5_1">#REF!</definedName>
    <definedName name="___16__Excel_BuiltIn_Print_Area_8_1">#REF!</definedName>
    <definedName name="___17_Excel_BuiltIn_Print_Area_1">#REF!</definedName>
    <definedName name="___18_Excel_BuiltIn_Print_Area_4_1">#REF!</definedName>
    <definedName name="___19_Excel_BuiltIn_Print_Area_5_1">#REF!</definedName>
    <definedName name="___1Excel_BuiltIn_Print_Area_1">#REF!</definedName>
    <definedName name="___2">#REF!</definedName>
    <definedName name="___2_____Excel_BuiltIn_Print_Area_4_1">#REF!</definedName>
    <definedName name="___2_Excel_BuiltIn_Print_Area_4_1">#REF!</definedName>
    <definedName name="___20_Excel_BuiltIn_Print_Area_8_1">#REF!</definedName>
    <definedName name="___21Excel_BuiltIn_Print_Area_1">#REF!</definedName>
    <definedName name="___22Excel_BuiltIn_Print_Area_4_1">#REF!</definedName>
    <definedName name="___23Excel_BuiltIn_Print_Area_5_1">#REF!</definedName>
    <definedName name="___24Excel_BuiltIn_Print_Area_8_1">#REF!</definedName>
    <definedName name="___2Excel_BuiltIn_Print_Area_4_1">#REF!</definedName>
    <definedName name="___3">#REF!</definedName>
    <definedName name="___3_____Excel_BuiltIn_Print_Area_5_1">#REF!</definedName>
    <definedName name="___3_Excel_BuiltIn_Print_Area_5_1">#REF!</definedName>
    <definedName name="___3Excel_BuiltIn_Print_Area_5_1">#REF!</definedName>
    <definedName name="___4">#REF!</definedName>
    <definedName name="___4_____Excel_BuiltIn_Print_Area_8_1">#REF!</definedName>
    <definedName name="___4_Excel_BuiltIn_Print_Area_8_1">#REF!</definedName>
    <definedName name="___4Excel_BuiltIn_Print_Area_8_1">#REF!</definedName>
    <definedName name="___5____Excel_BuiltIn_Print_Area_1">#REF!</definedName>
    <definedName name="___5Excel_BuiltIn_Print_Area_1">#REF!</definedName>
    <definedName name="___6">#REF!</definedName>
    <definedName name="___6____Excel_BuiltIn_Print_Area_4_1">#REF!</definedName>
    <definedName name="___6Excel_BuiltIn_Print_Area_4_1">#REF!</definedName>
    <definedName name="___7____Excel_BuiltIn_Print_Area_5_1">#REF!</definedName>
    <definedName name="___7Excel_BuiltIn_Print_Area_5_1">#REF!</definedName>
    <definedName name="___8">#REF!</definedName>
    <definedName name="___8____Excel_BuiltIn_Print_Area_8_1">#REF!</definedName>
    <definedName name="___8Excel_BuiltIn_Print_Area_8_1">#REF!</definedName>
    <definedName name="___9___Excel_BuiltIn_Print_Area_1">#REF!</definedName>
    <definedName name="___a1">{#N/A,#N/A,FALSE,"John TTL";#N/A,#N/A,FALSE,"BANKCARD ADM";#N/A,#N/A,FALSE,"BANKCARD MKT TTL";#N/A,#N/A,FALSE,"CARDPHONE CENTER";#N/A,#N/A,FALSE,"CCSI NEW APP";#N/A,#N/A,FALSE,"BANKCARD CREDIT";#N/A,#N/A,FALSE,"CCSI OPS";#N/A,#N/A,FALSE,"card other";#N/A,#N/A,FALSE,"co brand"}</definedName>
    <definedName name="___A11" hidden="1">{#N/A,#N/A,FALSE,"Umsatz 99";#N/A,#N/A,FALSE,"ER 99 "}</definedName>
    <definedName name="___A16385">#REF!</definedName>
    <definedName name="___a65554">#REF!</definedName>
    <definedName name="___a65600">#REF!</definedName>
    <definedName name="___a65700">#REF!</definedName>
    <definedName name="___a65800">#REF!</definedName>
    <definedName name="___a66000">#REF!</definedName>
    <definedName name="___a66636">#REF!</definedName>
    <definedName name="___AA1" hidden="1">{#N/A,#N/A,TRUE,"BALSCH";#N/A,#N/A,TRUE,"COMICRO";#N/A,#N/A,TRUE,"CHECKS";#N/A,#N/A,TRUE,"GLASS";#N/A,#N/A,TRUE,"DEPRE";#N/A,#N/A,TRUE,"A&amp;MCUR";#N/A,#N/A,TRUE,"AGEANAlysis";#N/A,#N/A,TRUE,"CHECKS"}</definedName>
    <definedName name="___aaa1" hidden="1">{#N/A,#N/A,FALSE,"Model";#N/A,#N/A,FALSE,"Division"}</definedName>
    <definedName name="___aba2">#REF!</definedName>
    <definedName name="___abc1" hidden="1">{"detail",#N/A,FALSE,"mfg";"summary",#N/A,FALSE,"mfg"}</definedName>
    <definedName name="___abc2" hidden="1">{"detail",#N/A,FALSE,"mfg";"summary",#N/A,FALSE,"mfg"}</definedName>
    <definedName name="___ACK1">#REF!</definedName>
    <definedName name="___ACK2">#REF!</definedName>
    <definedName name="___adh10">#REF!</definedName>
    <definedName name="___adh26">#REF!</definedName>
    <definedName name="___ads10">#REF!</definedName>
    <definedName name="___ads26">#REF!</definedName>
    <definedName name="___ann3">#REF!</definedName>
    <definedName name="___as3" hidden="1">#REF!</definedName>
    <definedName name="___asd1">#REF!</definedName>
    <definedName name="___Ash1">#REF!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G1">#N/A</definedName>
    <definedName name="___boi1">#REF!</definedName>
    <definedName name="___boi2">#REF!</definedName>
    <definedName name="___BSP1">#REF!</definedName>
    <definedName name="___BSP2">#REF!</definedName>
    <definedName name="___c" hidden="1">{"Fiesta Facer Page",#N/A,FALSE,"Q_C_S";"Fiesta Main Page",#N/A,FALSE,"V_L";"Fiesta 95BP Struct",#N/A,FALSE,"StructBP";"Fiesta Post 95BP Struct",#N/A,FALSE,"AdjStructBP"}</definedName>
    <definedName name="___cat1">#REF!</definedName>
    <definedName name="___cat2">#REF!</definedName>
    <definedName name="___col1">#REF!</definedName>
    <definedName name="___col10">#REF!</definedName>
    <definedName name="___col11">#REF!</definedName>
    <definedName name="___col12">#REF!</definedName>
    <definedName name="___col13">#REF!</definedName>
    <definedName name="___col2">#REF!</definedName>
    <definedName name="___col3">#REF!</definedName>
    <definedName name="___col4">#REF!</definedName>
    <definedName name="___col5">#REF!</definedName>
    <definedName name="___col6">#REF!</definedName>
    <definedName name="___col7">#REF!</definedName>
    <definedName name="___col8">#REF!</definedName>
    <definedName name="___col9">#REF!</definedName>
    <definedName name="___CON1">#REF!</definedName>
    <definedName name="___CON2">#REF!</definedName>
    <definedName name="___cpd1">#REF!</definedName>
    <definedName name="___cpd2">#REF!</definedName>
    <definedName name="___CTG6">#REF!</definedName>
    <definedName name="___D123" hidden="1">{#N/A,#N/A,TRUE,"Staffnos &amp; cost"}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7">#REF!</definedName>
    <definedName name="___DAT3">#REF!</definedName>
    <definedName name="___DAT30">#REF!</definedName>
    <definedName name="___DAT36">#REF!</definedName>
    <definedName name="___DAT4">#REF!</definedName>
    <definedName name="___DAT5">#REF!</definedName>
    <definedName name="___DAT6">#REF!</definedName>
    <definedName name="___DAT67">#REF!</definedName>
    <definedName name="___DAT68">#REF!</definedName>
    <definedName name="___DAT69">#REF!</definedName>
    <definedName name="___DAT7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8">#REF!</definedName>
    <definedName name="___DAT9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DET1">#REF!</definedName>
    <definedName name="___DET10">#REF!</definedName>
    <definedName name="___DET11">#REF!</definedName>
    <definedName name="___DET12">#REF!</definedName>
    <definedName name="___DET14">#REF!</definedName>
    <definedName name="___DET15">#REF!</definedName>
    <definedName name="___DET16">#REF!</definedName>
    <definedName name="___DET17">#REF!</definedName>
    <definedName name="___DET18">#REF!</definedName>
    <definedName name="___DET19">#REF!</definedName>
    <definedName name="___DET2">#REF!</definedName>
    <definedName name="___DET20">#REF!</definedName>
    <definedName name="___DET3">#REF!</definedName>
    <definedName name="___DET4">#REF!</definedName>
    <definedName name="___DET49">#REF!</definedName>
    <definedName name="___DET5">#REF!</definedName>
    <definedName name="___DET50">#REF!</definedName>
    <definedName name="___DET6">#REF!</definedName>
    <definedName name="___DET7">#REF!</definedName>
    <definedName name="___DET8">#REF!</definedName>
    <definedName name="___DET9">#REF!</definedName>
    <definedName name="___E99999">#REF!</definedName>
    <definedName name="___EC3" hidden="1">{#N/A,#N/A,FALSE,"QC REVIEW"}</definedName>
    <definedName name="___EXP9192">#N/A</definedName>
    <definedName name="___EXS8687">#N/A</definedName>
    <definedName name="___EXS8990">#N/A</definedName>
    <definedName name="___f3" hidden="1">{#N/A,#N/A,FALSE,"Aging Summary";#N/A,#N/A,FALSE,"Ratio Analysis";#N/A,#N/A,FALSE,"Test 120 Day Accts";#N/A,#N/A,FALSE,"Tickmarks"}</definedName>
    <definedName name="___f4" hidden="1">{#N/A,#N/A,FALSE,"Aging Summary";#N/A,#N/A,FALSE,"Ratio Analysis";#N/A,#N/A,FALSE,"Test 120 Day Accts";#N/A,#N/A,FALSE,"Tickmarks"}</definedName>
    <definedName name="___fb3" hidden="1">{#N/A,#N/A,FALSE,"Full";#N/A,#N/A,FALSE,"Half";#N/A,#N/A,FALSE,"Op Expenses";#N/A,#N/A,FALSE,"Cap Charge";#N/A,#N/A,FALSE,"Cost C";#N/A,#N/A,FALSE,"PP&amp;E";#N/A,#N/A,FALSE,"R&amp;D"}</definedName>
    <definedName name="___FOR91">#REF!</definedName>
    <definedName name="___fre2">#REF!</definedName>
    <definedName name="___fy97" hidden="1">{#N/A,#N/A,FALSE,"FY97";#N/A,#N/A,FALSE,"FY98";#N/A,#N/A,FALSE,"FY99";#N/A,#N/A,FALSE,"FY00";#N/A,#N/A,FALSE,"FY01"}</definedName>
    <definedName name="___g1" hidden="1">{"'August 2000'!$A$1:$J$101"}</definedName>
    <definedName name="___GIR89">#REF!</definedName>
    <definedName name="___GIR90">#REF!</definedName>
    <definedName name="___GRP1">OFFSET(#REF!,0,0,COUNTA(#REF!),1)</definedName>
    <definedName name="___Grp12">#REF!</definedName>
    <definedName name="___Grp13">#REF!</definedName>
    <definedName name="___Grp14">#REF!</definedName>
    <definedName name="___Grp15">#REF!</definedName>
    <definedName name="___Grp16" hidden="1">{#N/A,#N/A,FALSE,"PMTABB";#N/A,#N/A,FALSE,"PMTABB"}</definedName>
    <definedName name="___GRP2">OFFSET(#REF!,0,0,COUNTA(#REF!),1)</definedName>
    <definedName name="___INDEX_SHEET___ASAP_Utilities">#REF!</definedName>
    <definedName name="___inv1">#REF!</definedName>
    <definedName name="___inv2">#REF!</definedName>
    <definedName name="___iv65537">#REF!</definedName>
    <definedName name="___iv65540">#REF!</definedName>
    <definedName name="___JAI1">#REF!</definedName>
    <definedName name="___JAI2">#REF!</definedName>
    <definedName name="___JAI3">#REF!</definedName>
    <definedName name="___KEY2" hidden="1">#REF!</definedName>
    <definedName name="___KJ1">#REF!</definedName>
    <definedName name="___KJ2">#REF!</definedName>
    <definedName name="___KJ3">#REF!</definedName>
    <definedName name="___KJ4">#REF!</definedName>
    <definedName name="___KJ5">#REF!</definedName>
    <definedName name="___ksm14">#REF!</definedName>
    <definedName name="___ksm6">#REF!</definedName>
    <definedName name="___L" hidden="1">{"'OBT_6M_30_6'!$S$1:$AE$53"}</definedName>
    <definedName name="___lap1">#REF!</definedName>
    <definedName name="___lap2">#REF!</definedName>
    <definedName name="___m1000000">#REF!</definedName>
    <definedName name="___ma67">#REF!</definedName>
    <definedName name="___ma67_4">#REF!</definedName>
    <definedName name="___ma71">#REF!</definedName>
    <definedName name="___ma71_4">#REF!</definedName>
    <definedName name="___ma74">#REF!</definedName>
    <definedName name="___ma74_4">#REF!</definedName>
    <definedName name="___MAM1">#REF!</definedName>
    <definedName name="___MAR9091">#REF!</definedName>
    <definedName name="___mbc2" hidden="1">{#N/A,#N/A,FALSE,"QC REVIEW"}</definedName>
    <definedName name="___nc151">#REF!</definedName>
    <definedName name="___NET2">#REF!</definedName>
    <definedName name="___new1" hidden="1">{"letter",#N/A,FALSE,"Letter";"amort",#N/A,FALSE,"Amort"}</definedName>
    <definedName name="___NSO2" hidden="1">{"'Sheet1'!$L$16"}</definedName>
    <definedName name="___OB99">#REF!</definedName>
    <definedName name="___P1">#REF!</definedName>
    <definedName name="___PG02">#REF!</definedName>
    <definedName name="___PG1">#REF!</definedName>
    <definedName name="___PG10">#REF!</definedName>
    <definedName name="___PG11">#REF!</definedName>
    <definedName name="___PG12">#REF!</definedName>
    <definedName name="___pg14">#REF!</definedName>
    <definedName name="___PG2">#REF!</definedName>
    <definedName name="___pg3">#REF!</definedName>
    <definedName name="___PG4">#REF!</definedName>
    <definedName name="___pg45">#REF!</definedName>
    <definedName name="___PG5">#REF!</definedName>
    <definedName name="___PG6">#REF!</definedName>
    <definedName name="___pg7">#REF!</definedName>
    <definedName name="___PG8">#REF!</definedName>
    <definedName name="___pg9">#REF!</definedName>
    <definedName name="___pg99">#REF!</definedName>
    <definedName name="___PGE1">#REF!</definedName>
    <definedName name="___PGE10">#REF!</definedName>
    <definedName name="___PGE2">#REF!</definedName>
    <definedName name="___PGE3">#REF!</definedName>
    <definedName name="___PGE4">#REF!</definedName>
    <definedName name="___PGE5">#REF!</definedName>
    <definedName name="___PGE6">#REF!</definedName>
    <definedName name="___PGE7">#REF!</definedName>
    <definedName name="___PGE8">#REF!</definedName>
    <definedName name="___PGE9">#REF!</definedName>
    <definedName name="___PM1">#REF!</definedName>
    <definedName name="___PP1" hidden="1">{#N/A,#N/A,FALSE,"COMICRO";#N/A,#N/A,FALSE,"BALSCH";#N/A,#N/A,FALSE,"GLASS";#N/A,#N/A,FALSE,"DEPRE";#N/A,#N/A,FALSE,"A&amp;MCUR";#N/A,#N/A,FALSE,"AGEANAlysis";#N/A,#N/A,FALSE,"CHECKS";#N/A,#N/A,FALSE,"CHECKS"}</definedName>
    <definedName name="___PR1" hidden="1">{#N/A,#N/A,FALSE,"QC REVIEW"}</definedName>
    <definedName name="___pr11" hidden="1">{#N/A,#N/A,FALSE,"QC REVIEW"}</definedName>
    <definedName name="___pr2" hidden="1">{#N/A,#N/A,FALSE,"QC REVIEW"}</definedName>
    <definedName name="___pr3" hidden="1">{#N/A,#N/A,FALSE,"QC REVIEW"}</definedName>
    <definedName name="___pr31" hidden="1">{#N/A,#N/A,FALSE,"QC REVIEW"}</definedName>
    <definedName name="___pr4" hidden="1">{#N/A,#N/A,FALSE,"QC REVIEW"}</definedName>
    <definedName name="___pr5" hidden="1">{#N/A,#N/A,FALSE,"QC REVIEW"}</definedName>
    <definedName name="___prs3" hidden="1">{#N/A,#N/A,FALSE,"QC REVIEW"}</definedName>
    <definedName name="___prs5" hidden="1">{#N/A,#N/A,FALSE,"QC REVIEW"}</definedName>
    <definedName name="___qtr02">#REF!</definedName>
    <definedName name="___qtr4">#REF!</definedName>
    <definedName name="___r" hidden="1">{"consolidated",#N/A,FALSE,"Sheet1";"cms",#N/A,FALSE,"Sheet1";"fse",#N/A,FALSE,"Sheet1"}</definedName>
    <definedName name="___Ram1" hidden="1">{#N/A,#N/A,TRUE,"BALSCH";#N/A,#N/A,TRUE,"COMICRO";#N/A,#N/A,TRUE,"CHECKS";#N/A,#N/A,TRUE,"GLASS";#N/A,#N/A,TRUE,"DEPRE";#N/A,#N/A,TRUE,"A&amp;MCUR";#N/A,#N/A,TRUE,"AGEANAlysis";#N/A,#N/A,TRUE,"CHECKS"}</definedName>
    <definedName name="___RAM7">#REF!</definedName>
    <definedName name="___RED04">#REF!</definedName>
    <definedName name="___ro10">#REF!</definedName>
    <definedName name="___rpt1">#REF!</definedName>
    <definedName name="___rpt2">#REF!</definedName>
    <definedName name="___RT25" hidden="1">{#N/A,#N/A,FALSE,"Umsatz 99";#N/A,#N/A,FALSE,"ER 99 "}</definedName>
    <definedName name="___s1">#REF!</definedName>
    <definedName name="___SCH1">#REF!</definedName>
    <definedName name="___sch2">#REF!</definedName>
    <definedName name="___sch3">#REF!</definedName>
    <definedName name="___sch4">#REF!</definedName>
    <definedName name="___sch5">#REF!</definedName>
    <definedName name="___sch6">#REF!</definedName>
    <definedName name="___sch7">#REF!</definedName>
    <definedName name="___sch81">#REF!</definedName>
    <definedName name="___sch82">#REF!</definedName>
    <definedName name="___sch83">#REF!</definedName>
    <definedName name="___sch84">#REF!</definedName>
    <definedName name="___sep97">#REF!</definedName>
    <definedName name="___SH3">#N/A</definedName>
    <definedName name="___sht1">#REF!</definedName>
    <definedName name="___TC1901">#REF!</definedName>
    <definedName name="___tct5">#REF!</definedName>
    <definedName name="___tg427">#REF!</definedName>
    <definedName name="___TH20">#REF!</definedName>
    <definedName name="___tlt1">#REF!</definedName>
    <definedName name="___tlt1_4">#REF!</definedName>
    <definedName name="___TOT1">#REF!</definedName>
    <definedName name="___wrn1" hidden="1">{#N/A,#N/A,FALSE,"DCF";#N/A,#N/A,FALSE,"WACC";#N/A,#N/A,FALSE,"Sales_EBIT";#N/A,#N/A,FALSE,"Capex_Depreciation";#N/A,#N/A,FALSE,"WC";#N/A,#N/A,FALSE,"Interest";#N/A,#N/A,FALSE,"Assumptions"}</definedName>
    <definedName name="___wz1234">#REF!</definedName>
    <definedName name="___xlc_DefaultDisplayOption___" hidden="1">"caption"</definedName>
    <definedName name="___xlc_DisplayNullValues___" hidden="1">TRUE</definedName>
    <definedName name="___xlc_DisplayNullValuesAs___" hidden="1">"..."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_xlnm.Print_Titles_1">#N/A</definedName>
    <definedName name="___z12" hidden="1">{"pro_view",#N/A,FALSE,"EEFSNAP2";"rep_view",#N/A,FALSE,"EEFSNAP2"}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_zx3">#REF!</definedName>
    <definedName name="___zx3_4">#REF!</definedName>
    <definedName name="__1_____Excel_BuiltIn_Print_Area_1">#REF!</definedName>
    <definedName name="__1_Excel_BuiltIn_Print_Area_1">#REF!</definedName>
    <definedName name="__10">#REF!</definedName>
    <definedName name="__10___Excel_BuiltIn_Print_Area_4_1">#REF!</definedName>
    <definedName name="__10__123Graph_LBL_AGRAFICO_8" hidden="1">#N/A</definedName>
    <definedName name="__11">#REF!</definedName>
    <definedName name="__11___Excel_BuiltIn_Print_Area_5_1">#REF!</definedName>
    <definedName name="__11__123Graph_LBL_BGRAFICO_8" hidden="1">#N/A</definedName>
    <definedName name="__12">#REF!</definedName>
    <definedName name="__12___Excel_BuiltIn_Print_Area_8_1">#REF!</definedName>
    <definedName name="__12__123Graph_XGRAFICO_2" hidden="1">#N/A</definedName>
    <definedName name="__123Graph_A" hidden="1">#REF!</definedName>
    <definedName name="__123Graph_ACHART1" hidden="1">#REF!</definedName>
    <definedName name="__123Graph_ACURRENT" hidden="1">#REF!</definedName>
    <definedName name="__123Graph_ADOMSAL" hidden="1">#REF!</definedName>
    <definedName name="__123Graph_AEXPSAL" hidden="1">#REF!</definedName>
    <definedName name="__123Graph_AGERENCIA" hidden="1">#REF!</definedName>
    <definedName name="__123Graph_AGROSSEARN" hidden="1">#REF!</definedName>
    <definedName name="__123Graph_ANETWORTH" hidden="1">#REF!</definedName>
    <definedName name="__123Graph_APERCENT" hidden="1">#REF!</definedName>
    <definedName name="__123Graph_APROFIT" hidden="1">#REF!</definedName>
    <definedName name="__123Graph_B" hidden="1">#REF!</definedName>
    <definedName name="__123Graph_BCURRENT" hidden="1">#REF!</definedName>
    <definedName name="__123Graph_C" hidden="1">#REF!</definedName>
    <definedName name="__123Graph_C_1">#N/A</definedName>
    <definedName name="__123Graph_C_2">#N/A</definedName>
    <definedName name="__123Graph_C_3">#N/A</definedName>
    <definedName name="__123Graph_C_4">#N/A</definedName>
    <definedName name="__123Graph_CCURRENT" hidden="1">#REF!</definedName>
    <definedName name="__123Graph_D">#N/A</definedName>
    <definedName name="__123Graph_D_1">#N/A</definedName>
    <definedName name="__123Graph_D_2">#N/A</definedName>
    <definedName name="__123Graph_D_3">#N/A</definedName>
    <definedName name="__123Graph_D_4">#N/A</definedName>
    <definedName name="__123Graph_DCURRENT" hidden="1">#REF!</definedName>
    <definedName name="__123Graph_E" hidden="1">#REF!</definedName>
    <definedName name="__123Graph_ECURRENT" hidden="1">#REF!</definedName>
    <definedName name="__123Graph_FCurrent" hidden="1">#REF!</definedName>
    <definedName name="__123Graph_LBL_A" hidden="1">#REF!</definedName>
    <definedName name="__123Graph_LBL_ADOMSAL" hidden="1">#REF!</definedName>
    <definedName name="__123Graph_LBL_AEXPSAL" hidden="1">#REF!</definedName>
    <definedName name="__123Graph_LBL_AGROSSEARN" hidden="1">#REF!</definedName>
    <definedName name="__123Graph_LBL_ANETWORTH" hidden="1">#REF!</definedName>
    <definedName name="__123Graph_LBL_APROFIT" hidden="1">#REF!</definedName>
    <definedName name="__123Graph_LBL_B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DOMSAL" hidden="1">#REF!</definedName>
    <definedName name="__123Graph_XEXPSAL" hidden="1">#REF!</definedName>
    <definedName name="__123Graph_XGERENCIA" hidden="1">#REF!</definedName>
    <definedName name="__123Graph_XGROSSEARN" hidden="1">#REF!</definedName>
    <definedName name="__123Graph_XIRG" hidden="1">#REF!</definedName>
    <definedName name="__123Graph_XNETWORTH" hidden="1">#REF!</definedName>
    <definedName name="__123Graph_XPERCENT" hidden="1">#REF!</definedName>
    <definedName name="__123Graph_XPROFIT" hidden="1">#REF!</definedName>
    <definedName name="__13">#REF!</definedName>
    <definedName name="__13__Excel_BuiltIn_Print_Area_1">#REF!</definedName>
    <definedName name="__14">#REF!</definedName>
    <definedName name="__14__Excel_BuiltIn_Print_Area_4_1">#REF!</definedName>
    <definedName name="__14_0_0_F" hidden="1">#N/A</definedName>
    <definedName name="__15">#REF!</definedName>
    <definedName name="__15__Excel_BuiltIn_Print_Area_5_1">#REF!</definedName>
    <definedName name="__16">#REF!</definedName>
    <definedName name="__16__Excel_BuiltIn_Print_Area_8_1">#REF!</definedName>
    <definedName name="__17">#REF!</definedName>
    <definedName name="__17_Excel_BuiltIn_Print_Area_1">#REF!</definedName>
    <definedName name="__18">#REF!</definedName>
    <definedName name="__18_Excel_BuiltIn_Print_Area_4_1">#REF!</definedName>
    <definedName name="__19_Excel_BuiltIn_Print_Area_5_1">#REF!</definedName>
    <definedName name="__1AUS__REC">#REF!</definedName>
    <definedName name="__1LEAD_SCHEDULE">#REF!</definedName>
    <definedName name="__1wrn.²Ä1­Ó¤ë1_Ü20¤H." hidden="1">{#N/A,#N/A,FALSE,"²Ä1­Ó¤ë"}</definedName>
    <definedName name="__2_____Excel_BuiltIn_Print_Area_4_1">#REF!</definedName>
    <definedName name="__2_Excel_BuiltIn_Print_Area_4_1">#REF!</definedName>
    <definedName name="__2_SUM_OF_USAGE">#REF!</definedName>
    <definedName name="__20_Excel_BuiltIn_Print_Area_8_1">#REF!</definedName>
    <definedName name="__21Excel_BuiltIn_Print_Area_1">#REF!</definedName>
    <definedName name="__22Excel_BuiltIn_Print_Area_4_1">#REF!</definedName>
    <definedName name="__23Excel_BuiltIn_Print_Area_5_1">#REF!</definedName>
    <definedName name="__24Excel_BuiltIn_Print_Area_8_1">#REF!</definedName>
    <definedName name="__2Excel_BuiltIn__FilterDatabase_3_1">#REF!</definedName>
    <definedName name="__2PROG_SU">#REF!</definedName>
    <definedName name="__2USD_REC">#REF!</definedName>
    <definedName name="__3_____Excel_BuiltIn_Print_Area_5_1">#REF!</definedName>
    <definedName name="__3__123Graph_AGRAFICO_2" hidden="1">#N/A</definedName>
    <definedName name="__3_Excel_BuiltIn_Print_Area_5_1">#REF!</definedName>
    <definedName name="__3wrn.²Ä1­Ó¤ë1_Ü20¤H." hidden="1">{#N/A,#N/A,FALSE,"²Ä1­Ó¤ë"}</definedName>
    <definedName name="__4">#REF!</definedName>
    <definedName name="__4_____Excel_BuiltIn_Print_Area_8_1">#REF!</definedName>
    <definedName name="__4__123Graph_BGRAFICO_2" hidden="1">#N/A</definedName>
    <definedName name="__4_Excel_BuiltIn_Print_Area_8_1">#REF!</definedName>
    <definedName name="__5____Excel_BuiltIn_Print_Area_1">#REF!</definedName>
    <definedName name="__5__123Graph_BGRAFICO_8" hidden="1">#N/A</definedName>
    <definedName name="__5Excel_BuiltIn_Print_Area_1">#REF!</definedName>
    <definedName name="__6">#REF!</definedName>
    <definedName name="__6____Excel_BuiltIn_Print_Area_4_1">#REF!</definedName>
    <definedName name="__6__123Graph_CGRAFICO_2" hidden="1">#N/A</definedName>
    <definedName name="__6Excel_BuiltIn_Print_Area_4_1">#REF!</definedName>
    <definedName name="__7">#REF!</definedName>
    <definedName name="__7____Excel_BuiltIn_Print_Area_5_1">#REF!</definedName>
    <definedName name="__7__123Graph_DGRAFICO_2" hidden="1">#N/A</definedName>
    <definedName name="__7Excel_BuiltIn_Print_Area_5_1">#REF!</definedName>
    <definedName name="__8">#REF!</definedName>
    <definedName name="__8____Excel_BuiltIn_Print_Area_8_1">#REF!</definedName>
    <definedName name="__8__123Graph_EGRAFICO_2" hidden="1">#N/A</definedName>
    <definedName name="__8Excel_BuiltIn_Print_Area_8_1">#REF!</definedName>
    <definedName name="__9">#REF!</definedName>
    <definedName name="__9___Excel_BuiltIn_Print_Area_1">#REF!</definedName>
    <definedName name="__9__123Graph_FGRAFICO_2" hidden="1">#N/A</definedName>
    <definedName name="__9FLOW">#REF!</definedName>
    <definedName name="__a1" hidden="1">{#N/A,#N/A,FALSE,"Pharm";#N/A,#N/A,FALSE,"WWCM"}</definedName>
    <definedName name="__A11" hidden="1">{#N/A,#N/A,FALSE,"Umsatz 99";#N/A,#N/A,FALSE,"ER 99 "}</definedName>
    <definedName name="__A16385">#REF!</definedName>
    <definedName name="__A16484">#REF!</definedName>
    <definedName name="__A65536">#REF!</definedName>
    <definedName name="__A65537">#REF!</definedName>
    <definedName name="__a65554">#REF!</definedName>
    <definedName name="__a65600">#REF!</definedName>
    <definedName name="__a65700">#REF!</definedName>
    <definedName name="__a65800">#REF!</definedName>
    <definedName name="__a66000">#REF!</definedName>
    <definedName name="__a665536">#REF!</definedName>
    <definedName name="__a66636">#REF!</definedName>
    <definedName name="__AA1" hidden="1">{#N/A,#N/A,TRUE,"BALSCH";#N/A,#N/A,TRUE,"COMICRO";#N/A,#N/A,TRUE,"CHECKS";#N/A,#N/A,TRUE,"GLASS";#N/A,#N/A,TRUE,"DEPRE";#N/A,#N/A,TRUE,"A&amp;MCUR";#N/A,#N/A,TRUE,"AGEANAlysis";#N/A,#N/A,TRUE,"CHECKS"}</definedName>
    <definedName name="__aaa1" hidden="1">{#N/A,#N/A,FALSE,"REPORT"}</definedName>
    <definedName name="__aas1" hidden="1">{#N/A,#N/A,FALSE,"REPORT"}</definedName>
    <definedName name="__aba2">#REF!</definedName>
    <definedName name="__abc1">#REF!</definedName>
    <definedName name="__abc2" hidden="1">{"detail",#N/A,FALSE,"mfg";"summary",#N/A,FALSE,"mfg"}</definedName>
    <definedName name="__abc3" hidden="1">{"detail",#N/A,FALSE,"mfg";"summary",#N/A,FALSE,"mfg"}</definedName>
    <definedName name="__ACC1">#REF!</definedName>
    <definedName name="__ACK1">#REF!</definedName>
    <definedName name="__ACK2">#REF!</definedName>
    <definedName name="__Acq1">#REF!</definedName>
    <definedName name="__Acq2">#REF!</definedName>
    <definedName name="__Acq3">#REF!</definedName>
    <definedName name="__Acq4">#REF!</definedName>
    <definedName name="__ACS2000" hidden="1">{#N/A,#N/A,FALSE,"REPORT"}</definedName>
    <definedName name="__Actuals_for_total_of_12_Time_selections_Ledger_1" hidden="1">#REF!</definedName>
    <definedName name="__ADD1">#REF!</definedName>
    <definedName name="__ADD2">#REF!</definedName>
    <definedName name="__ADD3">#REF!</definedName>
    <definedName name="__adh10">#REF!</definedName>
    <definedName name="__adh26">#REF!</definedName>
    <definedName name="__ads10">#REF!</definedName>
    <definedName name="__ads26">#REF!</definedName>
    <definedName name="__ann3">#REF!</definedName>
    <definedName name="__ap2" hidden="1">{"detail",#N/A,FALSE,"mfg";"summary",#N/A,FALSE,"mfg"}</definedName>
    <definedName name="__APP6">#REF!</definedName>
    <definedName name="__as3" hidden="1">#REF!</definedName>
    <definedName name="__asd1">#REF!</definedName>
    <definedName name="__Ash1">#REF!</definedName>
    <definedName name="__ass2">#REF!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att3">#REF!</definedName>
    <definedName name="__att4">#REF!</definedName>
    <definedName name="__b111" hidden="1">{#N/A,#N/A,FALSE,"Pharm";#N/A,#N/A,FALSE,"WWCM"}</definedName>
    <definedName name="__BAL1">#REF!</definedName>
    <definedName name="__BAL2">#REF!</definedName>
    <definedName name="__BAL3">#REF!</definedName>
    <definedName name="__BDO2" hidden="1">{"'7'!$B$15:$D$32"}</definedName>
    <definedName name="__BG1">#N/A</definedName>
    <definedName name="__BL_Aug_2000_Production_Part_List_YS121W2CK72_Total">#REF!</definedName>
    <definedName name="__BLL1">#REF!</definedName>
    <definedName name="__BLL2">#REF!</definedName>
    <definedName name="__BLL3">#REF!</definedName>
    <definedName name="__boh20" hidden="1">#REF!</definedName>
    <definedName name="__boh21" hidden="1">#REF!</definedName>
    <definedName name="__boh22" hidden="1">#REF!</definedName>
    <definedName name="__boi1">#REF!</definedName>
    <definedName name="__boi2">#REF!</definedName>
    <definedName name="__Bom1">#REF!</definedName>
    <definedName name="__BOM10">#REF!</definedName>
    <definedName name="__BOM11">#REF!</definedName>
    <definedName name="__Bom12">#REF!</definedName>
    <definedName name="__BOM13">#REF!</definedName>
    <definedName name="__BOM14">#REF!</definedName>
    <definedName name="__BOM15">#REF!</definedName>
    <definedName name="__BOM16">#REF!</definedName>
    <definedName name="__BOM17">#REF!</definedName>
    <definedName name="__BOM18">#REF!</definedName>
    <definedName name="__BOM19">#REF!</definedName>
    <definedName name="__Bom2">#REF!</definedName>
    <definedName name="__BOM20">#REF!</definedName>
    <definedName name="__BOM21">#REF!</definedName>
    <definedName name="__BOM22">#REF!</definedName>
    <definedName name="__BOM23">#REF!</definedName>
    <definedName name="__BOM24">#REF!</definedName>
    <definedName name="__BOM25">#REF!</definedName>
    <definedName name="__BOM26">#REF!</definedName>
    <definedName name="__Bom3">#REF!</definedName>
    <definedName name="__Bom4">#REF!</definedName>
    <definedName name="__BOM5">#REF!</definedName>
    <definedName name="__BOM6">#REF!</definedName>
    <definedName name="__BOM7">#REF!</definedName>
    <definedName name="__BOM8">#REF!</definedName>
    <definedName name="__BOM9">#REF!</definedName>
    <definedName name="__BS1">#REF!</definedName>
    <definedName name="__BSP1">#REF!</definedName>
    <definedName name="__BSP2">#REF!</definedName>
    <definedName name="__c" hidden="1">{"Fiesta Facer Page",#N/A,FALSE,"Q_C_S";"Fiesta Main Page",#N/A,FALSE,"V_L";"Fiesta 95BP Struct",#N/A,FALSE,"StructBP";"Fiesta Post 95BP Struct",#N/A,FALSE,"AdjStructBP"}</definedName>
    <definedName name="__cat1">#REF!</definedName>
    <definedName name="__cat2">#REF!</definedName>
    <definedName name="__CCH1">#REF!</definedName>
    <definedName name="__CIA11">#REF!</definedName>
    <definedName name="__col1">#REF!</definedName>
    <definedName name="__col10">#REF!</definedName>
    <definedName name="__col11">#REF!</definedName>
    <definedName name="__col12">#REF!</definedName>
    <definedName name="__col13">#REF!</definedName>
    <definedName name="__col2">#REF!</definedName>
    <definedName name="__col3">#REF!</definedName>
    <definedName name="__col4">#REF!</definedName>
    <definedName name="__col5">#REF!</definedName>
    <definedName name="__col6">#REF!</definedName>
    <definedName name="__col7">#REF!</definedName>
    <definedName name="__col8">#REF!</definedName>
    <definedName name="__col9">#REF!</definedName>
    <definedName name="__COM11">#REF!</definedName>
    <definedName name="__COM20">#REF!</definedName>
    <definedName name="__CON1">#REF!</definedName>
    <definedName name="__CON11">#REF!</definedName>
    <definedName name="__CON2">#REF!</definedName>
    <definedName name="__CON20">#REF!</definedName>
    <definedName name="__cpd1">#REF!</definedName>
    <definedName name="__cpd2">#REF!</definedName>
    <definedName name="__CRA1">#REF!</definedName>
    <definedName name="__CRA10">#REF!</definedName>
    <definedName name="__CRA11">#REF!</definedName>
    <definedName name="__CRA12">#REF!</definedName>
    <definedName name="__CRA13">#REF!</definedName>
    <definedName name="__CRA14">#REF!</definedName>
    <definedName name="__CRA15">#REF!</definedName>
    <definedName name="__CRA16">#REF!</definedName>
    <definedName name="__CRA160">#REF!</definedName>
    <definedName name="__CRA17">#REF!</definedName>
    <definedName name="__CRA18">#REF!</definedName>
    <definedName name="__CRA19">#REF!</definedName>
    <definedName name="__CRA2">#REF!</definedName>
    <definedName name="__CRA20">#REF!</definedName>
    <definedName name="__CRA21">#REF!</definedName>
    <definedName name="__CRA22">#REF!</definedName>
    <definedName name="__CRA23">#REF!</definedName>
    <definedName name="__CRA24">#REF!</definedName>
    <definedName name="__CRA25">#REF!</definedName>
    <definedName name="__CRA26">#REF!</definedName>
    <definedName name="__CRA27">#REF!</definedName>
    <definedName name="__CRA28">#REF!</definedName>
    <definedName name="__CRA29">#REF!</definedName>
    <definedName name="__CRA3">#REF!</definedName>
    <definedName name="__CRA30">#REF!</definedName>
    <definedName name="__CRA31">#REF!</definedName>
    <definedName name="__CRA32">#REF!</definedName>
    <definedName name="__CRA33">#REF!</definedName>
    <definedName name="__CRA34">#REF!</definedName>
    <definedName name="__CRA35">#REF!</definedName>
    <definedName name="__CRA36">#REF!</definedName>
    <definedName name="__CRA37">#REF!</definedName>
    <definedName name="__CRA38">#REF!</definedName>
    <definedName name="__CRA4">#REF!</definedName>
    <definedName name="__CRA5">#REF!</definedName>
    <definedName name="__CRA6">#REF!</definedName>
    <definedName name="__CRA7">#REF!</definedName>
    <definedName name="__CRA8">#REF!</definedName>
    <definedName name="__CRA9">#REF!</definedName>
    <definedName name="__CRE1">#REF!</definedName>
    <definedName name="__CRE10">#REF!</definedName>
    <definedName name="__CRE11">#REF!</definedName>
    <definedName name="__CRE12">#REF!</definedName>
    <definedName name="__CRE13">#REF!</definedName>
    <definedName name="__CRE14">#REF!</definedName>
    <definedName name="__CRE15">#REF!</definedName>
    <definedName name="__CRE16">#REF!</definedName>
    <definedName name="__CRE17">#REF!</definedName>
    <definedName name="__CRE18">#REF!</definedName>
    <definedName name="__CRE19">#REF!</definedName>
    <definedName name="__CRE2">#REF!</definedName>
    <definedName name="__CRE20">#REF!</definedName>
    <definedName name="__CRE21">#REF!</definedName>
    <definedName name="__CRE22">#REF!</definedName>
    <definedName name="__CRE3">#REF!</definedName>
    <definedName name="__CRE4">#REF!</definedName>
    <definedName name="__CRE5">#REF!</definedName>
    <definedName name="__CRE6">#REF!</definedName>
    <definedName name="__CRE7">#REF!</definedName>
    <definedName name="__CRE8">#REF!</definedName>
    <definedName name="__CRE9">#REF!</definedName>
    <definedName name="__CRI1">#REF!</definedName>
    <definedName name="__CRI10">#REF!</definedName>
    <definedName name="__CRI100">#REF!</definedName>
    <definedName name="__CRI101">#REF!</definedName>
    <definedName name="__CRI102">#REF!</definedName>
    <definedName name="__CRI103">#REF!</definedName>
    <definedName name="__CRI104">#REF!</definedName>
    <definedName name="__CRI105">#REF!</definedName>
    <definedName name="__CRI106">#REF!</definedName>
    <definedName name="__CRI107">#REF!</definedName>
    <definedName name="__CRI108">#REF!</definedName>
    <definedName name="__CRI109">#REF!</definedName>
    <definedName name="__CRI11">#REF!</definedName>
    <definedName name="__CRI110">#REF!</definedName>
    <definedName name="__CRI111">#REF!</definedName>
    <definedName name="__CRI112">#REF!</definedName>
    <definedName name="__CRI113">#REF!</definedName>
    <definedName name="__CRI114">#REF!</definedName>
    <definedName name="__CRI115">#REF!</definedName>
    <definedName name="__CRI116">#REF!</definedName>
    <definedName name="__CRI117">#REF!</definedName>
    <definedName name="__CRI118">#REF!</definedName>
    <definedName name="__CRI119">#REF!</definedName>
    <definedName name="__CRI12">#REF!</definedName>
    <definedName name="__CRI120">#REF!</definedName>
    <definedName name="__CRI121">#REF!</definedName>
    <definedName name="__CRI122">#REF!</definedName>
    <definedName name="__CRI123">#REF!</definedName>
    <definedName name="__CRI124">#REF!</definedName>
    <definedName name="__CRI125">#REF!</definedName>
    <definedName name="__CRI126">#REF!</definedName>
    <definedName name="__CRI127">#REF!</definedName>
    <definedName name="__CRI128">#REF!</definedName>
    <definedName name="__CRI129">#REF!</definedName>
    <definedName name="__CRI13">#REF!</definedName>
    <definedName name="__CRI130">#REF!</definedName>
    <definedName name="__CRI131">#REF!</definedName>
    <definedName name="__CRI132">#REF!</definedName>
    <definedName name="__CRI133">#REF!</definedName>
    <definedName name="__CRI1333">#REF!</definedName>
    <definedName name="__CRI134">#REF!</definedName>
    <definedName name="__CRI135">#REF!</definedName>
    <definedName name="__CRI136">#REF!</definedName>
    <definedName name="__CRI137">#REF!</definedName>
    <definedName name="__CRI138">#REF!</definedName>
    <definedName name="__CRI139">#REF!</definedName>
    <definedName name="__CRI14">#REF!</definedName>
    <definedName name="__CRI140">#REF!</definedName>
    <definedName name="__CRI141">#REF!</definedName>
    <definedName name="__CRI142">#REF!</definedName>
    <definedName name="__CRI143">#REF!</definedName>
    <definedName name="__CRI144">#REF!</definedName>
    <definedName name="__CRI145">#REF!</definedName>
    <definedName name="__CRI146">#REF!</definedName>
    <definedName name="__CRI147">#REF!</definedName>
    <definedName name="__CRI148">#REF!</definedName>
    <definedName name="__CRI149">#REF!</definedName>
    <definedName name="__CRI15">#REF!</definedName>
    <definedName name="__CRI150">#REF!</definedName>
    <definedName name="__CRI151">#REF!</definedName>
    <definedName name="__CRI152">#REF!</definedName>
    <definedName name="__CRI153">#REF!</definedName>
    <definedName name="__CRI154">#REF!</definedName>
    <definedName name="__CRI155">#REF!</definedName>
    <definedName name="__CRI156">#REF!</definedName>
    <definedName name="__CRI157">#REF!</definedName>
    <definedName name="__CRI158">#REF!</definedName>
    <definedName name="__CRI159">#REF!</definedName>
    <definedName name="__CRI16">#REF!</definedName>
    <definedName name="__CRI160">#REF!</definedName>
    <definedName name="__CRI161">#REF!</definedName>
    <definedName name="__CRI162">#REF!</definedName>
    <definedName name="__CRI17">#REF!</definedName>
    <definedName name="__CRI18">#REF!</definedName>
    <definedName name="__CRI19">#REF!</definedName>
    <definedName name="__CRI2">#REF!</definedName>
    <definedName name="__CRI20">#REF!</definedName>
    <definedName name="__CRI21">#REF!</definedName>
    <definedName name="__CRI22">#REF!</definedName>
    <definedName name="__CRI23">#REF!</definedName>
    <definedName name="__CRI24">#REF!</definedName>
    <definedName name="__CRI25">#REF!</definedName>
    <definedName name="__CRI26">#REF!</definedName>
    <definedName name="__CRI27">#REF!</definedName>
    <definedName name="__CRI28">#REF!</definedName>
    <definedName name="__CRI29">#REF!</definedName>
    <definedName name="__CRI3">#REF!</definedName>
    <definedName name="__CRI30">#REF!</definedName>
    <definedName name="__CRI31">#REF!</definedName>
    <definedName name="__CRI32">#REF!</definedName>
    <definedName name="__CRI33">#REF!</definedName>
    <definedName name="__CRI34">#REF!</definedName>
    <definedName name="__CRI35">#REF!</definedName>
    <definedName name="__CRI36">#REF!</definedName>
    <definedName name="__CRI37">#REF!</definedName>
    <definedName name="__CRI38">#REF!</definedName>
    <definedName name="__CRI39">#REF!</definedName>
    <definedName name="__CRI4">#REF!</definedName>
    <definedName name="__CRI40">#REF!</definedName>
    <definedName name="__CRI41">#REF!</definedName>
    <definedName name="__CRI42">#REF!</definedName>
    <definedName name="__CRI43">#REF!</definedName>
    <definedName name="__CRI44">#REF!</definedName>
    <definedName name="__CRI45">#REF!</definedName>
    <definedName name="__CRI46">#REF!</definedName>
    <definedName name="__CRI47">#REF!</definedName>
    <definedName name="__CRI48">#REF!</definedName>
    <definedName name="__CRI49">#REF!</definedName>
    <definedName name="__CRI5">#REF!</definedName>
    <definedName name="__CRI50">#REF!</definedName>
    <definedName name="__CRI51">#REF!</definedName>
    <definedName name="__CRI52">#REF!</definedName>
    <definedName name="__CRI53">#REF!</definedName>
    <definedName name="__CRI54">#REF!</definedName>
    <definedName name="__CRI55">#REF!</definedName>
    <definedName name="__CRI56">#REF!</definedName>
    <definedName name="__CRI57">#REF!</definedName>
    <definedName name="__CRI58">#REF!</definedName>
    <definedName name="__CRI59">#REF!</definedName>
    <definedName name="__CRI6">#REF!</definedName>
    <definedName name="__CRI60">#REF!</definedName>
    <definedName name="__CRI61">#REF!</definedName>
    <definedName name="__CRI62">#REF!</definedName>
    <definedName name="__CRI63">#REF!</definedName>
    <definedName name="__CRI64">#REF!</definedName>
    <definedName name="__CRI65">#REF!</definedName>
    <definedName name="__CRI66">#REF!</definedName>
    <definedName name="__CRI67">#REF!</definedName>
    <definedName name="__CRI68">#REF!</definedName>
    <definedName name="__CRI69">#REF!</definedName>
    <definedName name="__CRI7">#REF!</definedName>
    <definedName name="__CRI70">#REF!</definedName>
    <definedName name="__CRI71">#REF!</definedName>
    <definedName name="__CRI72">#REF!</definedName>
    <definedName name="__CRI73">#REF!</definedName>
    <definedName name="__CRI74">#REF!</definedName>
    <definedName name="__CRI75">#REF!</definedName>
    <definedName name="__CRI76">#REF!</definedName>
    <definedName name="__CRI77">#REF!</definedName>
    <definedName name="__CRI78">#REF!</definedName>
    <definedName name="__CRI79">#REF!</definedName>
    <definedName name="__CRI8">#REF!</definedName>
    <definedName name="__CRI80">#REF!</definedName>
    <definedName name="__CRI81">#REF!</definedName>
    <definedName name="__CRI82">#REF!</definedName>
    <definedName name="__CRI83">#REF!</definedName>
    <definedName name="__CRI84">#REF!</definedName>
    <definedName name="__CRI85">#REF!</definedName>
    <definedName name="__CRI86">#REF!</definedName>
    <definedName name="__CRI87">#REF!</definedName>
    <definedName name="__CRI88">#REF!</definedName>
    <definedName name="__CRI89">#REF!</definedName>
    <definedName name="__CRI9">#REF!</definedName>
    <definedName name="__CRI90">#REF!</definedName>
    <definedName name="__CRI91">#REF!</definedName>
    <definedName name="__CRI92">#REF!</definedName>
    <definedName name="__CRI93">#REF!</definedName>
    <definedName name="__CRI94">#REF!</definedName>
    <definedName name="__CRI95">#REF!</definedName>
    <definedName name="__CRI96">#REF!</definedName>
    <definedName name="__CRI97">#REF!</definedName>
    <definedName name="__CRI98">#REF!</definedName>
    <definedName name="__CRI99">#REF!</definedName>
    <definedName name="__CRR160">#REF!</definedName>
    <definedName name="__CRT1">#REF!</definedName>
    <definedName name="__CRT10">#REF!</definedName>
    <definedName name="__CRT100">#REF!</definedName>
    <definedName name="__CRT101">#REF!</definedName>
    <definedName name="__CRT102">#REF!</definedName>
    <definedName name="__CRT10200">#REF!</definedName>
    <definedName name="__CRT103">#REF!</definedName>
    <definedName name="__CRT104">#REF!</definedName>
    <definedName name="__CRT10400">#REF!</definedName>
    <definedName name="__CRT105">#REF!</definedName>
    <definedName name="__CRT106">#REF!</definedName>
    <definedName name="__CRT107">#REF!</definedName>
    <definedName name="__CRT108">#REF!</definedName>
    <definedName name="__CRT109">#REF!</definedName>
    <definedName name="__CRT11">#REF!</definedName>
    <definedName name="__CRT110">#REF!</definedName>
    <definedName name="__CRT111">#REF!</definedName>
    <definedName name="__CRT112">#REF!</definedName>
    <definedName name="__CRT113">#REF!</definedName>
    <definedName name="__CRT114">#REF!</definedName>
    <definedName name="__CRT115">#REF!</definedName>
    <definedName name="__CRT11500">#REF!</definedName>
    <definedName name="__CRT116">#REF!</definedName>
    <definedName name="__CRT11600">#REF!</definedName>
    <definedName name="__CRT117">#REF!</definedName>
    <definedName name="__CRT118">#REF!</definedName>
    <definedName name="__CRT119">#REF!</definedName>
    <definedName name="__CRT12">#REF!</definedName>
    <definedName name="__CRT120">#REF!</definedName>
    <definedName name="__CRT121">#REF!</definedName>
    <definedName name="__CRT122">#REF!</definedName>
    <definedName name="__CRT123">#REF!</definedName>
    <definedName name="__CRT124">#REF!</definedName>
    <definedName name="__CRT125">#REF!</definedName>
    <definedName name="__CRT126">#REF!</definedName>
    <definedName name="__CRT127">#REF!</definedName>
    <definedName name="__CRT128">#REF!</definedName>
    <definedName name="__CRT129">#REF!</definedName>
    <definedName name="__CRT13">#REF!</definedName>
    <definedName name="__CRT130">#REF!</definedName>
    <definedName name="__CRT131">#REF!</definedName>
    <definedName name="__CRT132">#REF!</definedName>
    <definedName name="__CRT133">#REF!</definedName>
    <definedName name="__CRT134">#REF!</definedName>
    <definedName name="__CRT135">#REF!</definedName>
    <definedName name="__CRT136">#REF!</definedName>
    <definedName name="__CRT137">#REF!</definedName>
    <definedName name="__CRT138">#REF!</definedName>
    <definedName name="__CRT139">#REF!</definedName>
    <definedName name="__CRT14">#REF!</definedName>
    <definedName name="__CRT140">#REF!</definedName>
    <definedName name="__CRT141">#REF!</definedName>
    <definedName name="__CRT142">#REF!</definedName>
    <definedName name="__CRT143">#REF!</definedName>
    <definedName name="__CRT144">#REF!</definedName>
    <definedName name="__CRT145">#REF!</definedName>
    <definedName name="__CRT146">#REF!</definedName>
    <definedName name="__CRT147">#REF!</definedName>
    <definedName name="__CRT148">#REF!</definedName>
    <definedName name="__CRT149">#REF!</definedName>
    <definedName name="__CRT15">#REF!</definedName>
    <definedName name="__CRT150">#REF!</definedName>
    <definedName name="__CRT151">#REF!</definedName>
    <definedName name="__CRT152">#REF!</definedName>
    <definedName name="__CRT153">#REF!</definedName>
    <definedName name="__CRT154">#REF!</definedName>
    <definedName name="__CRT155">#REF!</definedName>
    <definedName name="__CRT156">#REF!</definedName>
    <definedName name="__CRT157">#REF!</definedName>
    <definedName name="__CRT158">#REF!</definedName>
    <definedName name="__CRT159">#REF!</definedName>
    <definedName name="__CRT16">#REF!</definedName>
    <definedName name="__CRT160">#REF!</definedName>
    <definedName name="__CRT17">#REF!</definedName>
    <definedName name="__CRT18">#REF!</definedName>
    <definedName name="__CRT19">#REF!</definedName>
    <definedName name="__CRT2">#REF!</definedName>
    <definedName name="__CRT20">#REF!</definedName>
    <definedName name="__CRT21">#REF!</definedName>
    <definedName name="__CRT22">#REF!</definedName>
    <definedName name="__CRT23">#REF!</definedName>
    <definedName name="__CRT24">#REF!</definedName>
    <definedName name="__CRT25">#REF!</definedName>
    <definedName name="__CRT26">#REF!</definedName>
    <definedName name="__CRT27">#REF!</definedName>
    <definedName name="__CRT28">#REF!</definedName>
    <definedName name="__CRT29">#REF!</definedName>
    <definedName name="__CRT3">#REF!</definedName>
    <definedName name="__CRT30">#REF!</definedName>
    <definedName name="__CRT31">#REF!</definedName>
    <definedName name="__CRT32">#REF!</definedName>
    <definedName name="__CRT33">#REF!</definedName>
    <definedName name="__CRT34">#REF!</definedName>
    <definedName name="__CRT35">#REF!</definedName>
    <definedName name="__CRT36">#REF!</definedName>
    <definedName name="__CRT37">#REF!</definedName>
    <definedName name="__CRT38">#REF!</definedName>
    <definedName name="__CRT39">#REF!</definedName>
    <definedName name="__CRT4">#REF!</definedName>
    <definedName name="__CRT40">#REF!</definedName>
    <definedName name="__CRT41">#REF!</definedName>
    <definedName name="__CRT42">#REF!</definedName>
    <definedName name="__CRT43">#REF!</definedName>
    <definedName name="__CRT44">#REF!</definedName>
    <definedName name="__CRT45">#REF!</definedName>
    <definedName name="__CRT46">#REF!</definedName>
    <definedName name="__CRT47">#REF!</definedName>
    <definedName name="__CRT48">#REF!</definedName>
    <definedName name="__CRT49">#REF!</definedName>
    <definedName name="__CRT5">#REF!</definedName>
    <definedName name="__CRT50">#REF!</definedName>
    <definedName name="__CRT51">#REF!</definedName>
    <definedName name="__CRT52">#REF!</definedName>
    <definedName name="__CRT53">#REF!</definedName>
    <definedName name="__CRT54">#REF!</definedName>
    <definedName name="__CRT55">#REF!</definedName>
    <definedName name="__CRT56">#REF!</definedName>
    <definedName name="__CRT57">#REF!</definedName>
    <definedName name="__CRT58">#REF!</definedName>
    <definedName name="__CRT59">#REF!</definedName>
    <definedName name="__CRT6">#REF!</definedName>
    <definedName name="__CRT60">#REF!</definedName>
    <definedName name="__CRT61">#REF!</definedName>
    <definedName name="__CRT62">#REF!</definedName>
    <definedName name="__CRT63">#REF!</definedName>
    <definedName name="__CRT64">#REF!</definedName>
    <definedName name="__CRT65">#REF!</definedName>
    <definedName name="__CRT66">#REF!</definedName>
    <definedName name="__CRT67">#REF!</definedName>
    <definedName name="__CRT68">#REF!</definedName>
    <definedName name="__CRT69">#REF!</definedName>
    <definedName name="__CRT7">#REF!</definedName>
    <definedName name="__CRT70">#REF!</definedName>
    <definedName name="__CRT71">#REF!</definedName>
    <definedName name="__CRT72">#REF!</definedName>
    <definedName name="__CRT73">#REF!</definedName>
    <definedName name="__CRT74">#REF!</definedName>
    <definedName name="__CRT75">#REF!</definedName>
    <definedName name="__CRT76">#REF!</definedName>
    <definedName name="__CRT77">#REF!</definedName>
    <definedName name="__CRT78">#REF!</definedName>
    <definedName name="__CRT79">#REF!</definedName>
    <definedName name="__CRT8">#REF!</definedName>
    <definedName name="__CRT80">#REF!</definedName>
    <definedName name="__CRT81">#REF!</definedName>
    <definedName name="__CRT82">#REF!</definedName>
    <definedName name="__CRT83">#REF!</definedName>
    <definedName name="__CRT84">#REF!</definedName>
    <definedName name="__CRT85">#REF!</definedName>
    <definedName name="__CRT86">#REF!</definedName>
    <definedName name="__CRT87">#REF!</definedName>
    <definedName name="__CRT88">#REF!</definedName>
    <definedName name="__CRT89">#REF!</definedName>
    <definedName name="__CRT9">#REF!</definedName>
    <definedName name="__CRT90">#REF!</definedName>
    <definedName name="__CRT91">#REF!</definedName>
    <definedName name="__CRT92">#REF!</definedName>
    <definedName name="__CRT93">#REF!</definedName>
    <definedName name="__CRT94">#REF!</definedName>
    <definedName name="__CRT95">#REF!</definedName>
    <definedName name="__CRT96">#REF!</definedName>
    <definedName name="__CRT97">#REF!</definedName>
    <definedName name="__CRT9700">#REF!</definedName>
    <definedName name="__CRT98">#REF!</definedName>
    <definedName name="__CRT99">#REF!</definedName>
    <definedName name="__CTG17">#REF!</definedName>
    <definedName name="__CTG6">#REF!</definedName>
    <definedName name="__D123" hidden="1">{#N/A,#N/A,TRUE,"Staffnos &amp; cost"}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8">#REF!</definedName>
    <definedName name="__DAT9">#REF!</definedName>
    <definedName name="__dd1" hidden="1">{#N/A,#N/A,FALSE,"FFM"}</definedName>
    <definedName name="__dd2" hidden="1">{#N/A,#N/A,FALSE,"FFM"}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DET1">#REF!</definedName>
    <definedName name="__DET10">#REF!</definedName>
    <definedName name="__DET11">#REF!</definedName>
    <definedName name="__DET12">#REF!</definedName>
    <definedName name="__DET14">#REF!</definedName>
    <definedName name="__DET15">#REF!</definedName>
    <definedName name="__DET16">#REF!</definedName>
    <definedName name="__DET17">#REF!</definedName>
    <definedName name="__DET18">#REF!</definedName>
    <definedName name="__DET19">#REF!</definedName>
    <definedName name="__DET2">#REF!</definedName>
    <definedName name="__DET20">#REF!</definedName>
    <definedName name="__DET3">#REF!</definedName>
    <definedName name="__DET4">#REF!</definedName>
    <definedName name="__DET49">#REF!</definedName>
    <definedName name="__DET5">#REF!</definedName>
    <definedName name="__DET50">#REF!</definedName>
    <definedName name="__DET6">#REF!</definedName>
    <definedName name="__DET7">#REF!</definedName>
    <definedName name="__DET8">#REF!</definedName>
    <definedName name="__DET9">#REF!</definedName>
    <definedName name="__DIS1">#REF!</definedName>
    <definedName name="__DIS10">#REF!</definedName>
    <definedName name="__DIS11">#REF!</definedName>
    <definedName name="__DIS12">#REF!</definedName>
    <definedName name="__DIS2">#REF!</definedName>
    <definedName name="__DIS3">#REF!</definedName>
    <definedName name="__DIS4">#REF!</definedName>
    <definedName name="__DIS5">#REF!</definedName>
    <definedName name="__DIS6">#REF!</definedName>
    <definedName name="__DIS7">#REF!</definedName>
    <definedName name="__DIS8">#REF!</definedName>
    <definedName name="__DIS9">#REF!</definedName>
    <definedName name="__DLL11">#REF!</definedName>
    <definedName name="__DLL20">#REF!</definedName>
    <definedName name="__DOL11">#REF!</definedName>
    <definedName name="__DOL20">#REF!</definedName>
    <definedName name="__DUE1">#REF!</definedName>
    <definedName name="__dwa1" hidden="1">{#N/A,"PURCHM",FALSE,"Business Analysis";#N/A,"SPADD",FALSE,"Business Analysis"}</definedName>
    <definedName name="__E99999">#REF!</definedName>
    <definedName name="__EC3" hidden="1">{#N/A,#N/A,FALSE,"QC REVIEW"}</definedName>
    <definedName name="__EdFJsKAA_3">NA()</definedName>
    <definedName name="__eu93" hidden="1">{"Comp_of_Price_Effect",#N/A,FALSE,"QTRDPVAR"}</definedName>
    <definedName name="__EXP9192">#N/A</definedName>
    <definedName name="__EXS8687">#N/A</definedName>
    <definedName name="__EXS8990">#N/A</definedName>
    <definedName name="__f3" hidden="1">{#N/A,#N/A,FALSE,"Aging Summary";#N/A,#N/A,FALSE,"Ratio Analysis";#N/A,#N/A,FALSE,"Test 120 Day Accts";#N/A,#N/A,FALSE,"Tickmarks"}</definedName>
    <definedName name="__f4" hidden="1">{#N/A,#N/A,FALSE,"Aging Summary";#N/A,#N/A,FALSE,"Ratio Analysis";#N/A,#N/A,FALSE,"Test 120 Day Accts";#N/A,#N/A,FALSE,"Tickmarks"}</definedName>
    <definedName name="__fb3" hidden="1">{#N/A,#N/A,FALSE,"Full";#N/A,#N/A,FALSE,"Half";#N/A,#N/A,FALSE,"Op Expenses";#N/A,#N/A,FALSE,"Cap Charge";#N/A,#N/A,FALSE,"Cost C";#N/A,#N/A,FALSE,"PP&amp;E";#N/A,#N/A,FALSE,"R&amp;D"}</definedName>
    <definedName name="__fco2" hidden="1">{#N/A,#N/A,FALSE,"gc (2)"}</definedName>
    <definedName name="__FDS_HYPERLINK_TOGGLE_STATE__" hidden="1">"ON"</definedName>
    <definedName name="__FDS_UNIQUE_RANGE_ID_GENERATOR_COUNTER" hidden="1">1</definedName>
    <definedName name="__FDS_USED_FOR_REUSING_RANGE_IDS_RECYCLE" hidden="1">{152,168,338,189,173,195,158,390,7,11,232,378,159,175,261,183,177,129,8,155,265,394,57}</definedName>
    <definedName name="__FFR2">#REF!</definedName>
    <definedName name="__FOR1">#REF!</definedName>
    <definedName name="__FOR10">#REF!</definedName>
    <definedName name="__FOR11">#REF!</definedName>
    <definedName name="__FOR2">#REF!</definedName>
    <definedName name="__FOR3">#REF!</definedName>
    <definedName name="__FOR4">#REF!</definedName>
    <definedName name="__FOR5">#REF!</definedName>
    <definedName name="__FOR6">#REF!</definedName>
    <definedName name="__FOR7">#REF!</definedName>
    <definedName name="__FOR8">#REF!</definedName>
    <definedName name="__FOR9">#REF!</definedName>
    <definedName name="__FOR91">#REF!</definedName>
    <definedName name="__fre2">#REF!</definedName>
    <definedName name="__FRR1">#REF!</definedName>
    <definedName name="__FRR2">#REF!</definedName>
    <definedName name="__FRR3">#REF!</definedName>
    <definedName name="__FRR4">#REF!</definedName>
    <definedName name="__FRR5">#REF!</definedName>
    <definedName name="__FST1">#REF!</definedName>
    <definedName name="__fy97" hidden="1">{#N/A,#N/A,FALSE,"FY97";#N/A,#N/A,FALSE,"FY98";#N/A,#N/A,FALSE,"FY99";#N/A,#N/A,FALSE,"FY00";#N/A,#N/A,FALSE,"FY01"}</definedName>
    <definedName name="__g1" hidden="1">{"'August 2000'!$A$1:$J$101"}</definedName>
    <definedName name="__GIR89">#REF!</definedName>
    <definedName name="__GIR90">#REF!</definedName>
    <definedName name="__GoA1">#N/A</definedName>
    <definedName name="__GRP1">OFFSET(#REF!,0,0,COUNTA(#REF!),1)</definedName>
    <definedName name="__Grp12">#REF!</definedName>
    <definedName name="__Grp13">#REF!</definedName>
    <definedName name="__Grp14">#REF!</definedName>
    <definedName name="__Grp15">#REF!</definedName>
    <definedName name="__Grp16" hidden="1">{#N/A,#N/A,FALSE,"PMTABB";#N/A,#N/A,FALSE,"PMTABB"}</definedName>
    <definedName name="__Grp2">#REF!</definedName>
    <definedName name="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ILT1">#REF!</definedName>
    <definedName name="__IntlFixup" hidden="1">TRUE</definedName>
    <definedName name="__IntlFixupTable" hidden="1">#REF!</definedName>
    <definedName name="__inv1">#REF!</definedName>
    <definedName name="__inv2">#REF!</definedName>
    <definedName name="__IRR1">#REF!</definedName>
    <definedName name="__IRR2">#REF!</definedName>
    <definedName name="__IRR3">#REF!</definedName>
    <definedName name="__IRR4">#REF!</definedName>
    <definedName name="__IRR5">#REF!</definedName>
    <definedName name="__IRR6">#REF!</definedName>
    <definedName name="__iv65537">#REF!</definedName>
    <definedName name="__iv65540">#REF!</definedName>
    <definedName name="__JAI1">#REF!</definedName>
    <definedName name="__JAI2">#REF!</definedName>
    <definedName name="__JAI3">#REF!</definedName>
    <definedName name="__k8" hidden="1">{#N/A,#N/A,FALSE,"COVER1.XLS ";#N/A,#N/A,FALSE,"RACT1.XLS";#N/A,#N/A,FALSE,"RACT2.XLS";#N/A,#N/A,FALSE,"ECCMP";#N/A,#N/A,FALSE,"WELDER.XLS"}</definedName>
    <definedName name="__key1" hidden="1">#REF!</definedName>
    <definedName name="__KJ1">#REF!</definedName>
    <definedName name="__KJ2">#REF!</definedName>
    <definedName name="__KJ3">#REF!</definedName>
    <definedName name="__KJ4">#REF!</definedName>
    <definedName name="__KJ5">#REF!</definedName>
    <definedName name="__kpi1" hidden="1">{"'OBT_6M_30_6'!$S$1:$AE$53"}</definedName>
    <definedName name="__ksm14">#REF!</definedName>
    <definedName name="__ksm6">#REF!</definedName>
    <definedName name="__kv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kvs2" hidden="1">{#N/A,#N/A,FALSE,"COVER1.XLS ";#N/A,#N/A,FALSE,"RACT1.XLS";#N/A,#N/A,FALSE,"RACT2.XLS";#N/A,#N/A,FALSE,"ECCMP";#N/A,#N/A,FALSE,"WELDER.XLS"}</definedName>
    <definedName name="__kvs5" hidden="1">{#N/A,#N/A,FALSE,"COVER.XLS";#N/A,#N/A,FALSE,"RACT1.XLS";#N/A,#N/A,FALSE,"RACT2.XLS";#N/A,#N/A,FALSE,"ECCMP";#N/A,#N/A,FALSE,"WELDER.XLS"}</definedName>
    <definedName name="__kvs7" hidden="1">{#N/A,#N/A,FALSE,"COVER1.XLS ";#N/A,#N/A,FALSE,"RACT1.XLS";#N/A,#N/A,FALSE,"RACT2.XLS";#N/A,#N/A,FALSE,"ECCMP";#N/A,#N/A,FALSE,"WELDER.XLS"}</definedName>
    <definedName name="__kvs8" hidden="1">{#N/A,#N/A,FALSE,"COVER1.XLS ";#N/A,#N/A,FALSE,"RACT1.XLS";#N/A,#N/A,FALSE,"RACT2.XLS";#N/A,#N/A,FALSE,"ECCMP";#N/A,#N/A,FALSE,"WELDER.XLS"}</definedName>
    <definedName name="__KVS9" hidden="1">{#N/A,#N/A,FALSE,"COVER1.XLS ";#N/A,#N/A,FALSE,"RACT1.XLS";#N/A,#N/A,FALSE,"RACT2.XLS";#N/A,#N/A,FALSE,"ECCMP";#N/A,#N/A,FALSE,"WELDER.XLS"}</definedName>
    <definedName name="__L" hidden="1">{"'OBT_6M_30_6'!$S$1:$AE$53"}</definedName>
    <definedName name="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AM1">#REF!</definedName>
    <definedName name="__LAM10">#REF!</definedName>
    <definedName name="__LAM11">#REF!</definedName>
    <definedName name="__LAM12">#REF!</definedName>
    <definedName name="__LAM2">#REF!</definedName>
    <definedName name="__LAM3">#REF!</definedName>
    <definedName name="__LAM4">#REF!</definedName>
    <definedName name="__LAM5">#REF!</definedName>
    <definedName name="__LAM6">#REF!</definedName>
    <definedName name="__LAM7">#REF!</definedName>
    <definedName name="__LAM8">#REF!</definedName>
    <definedName name="__LAM9">#REF!</definedName>
    <definedName name="__lap1">#REF!</definedName>
    <definedName name="__lap2">#REF!</definedName>
    <definedName name="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a67">#REF!</definedName>
    <definedName name="__ma67_4">#REF!</definedName>
    <definedName name="__ma71">#REF!</definedName>
    <definedName name="__ma71_4">#REF!</definedName>
    <definedName name="__ma74">#REF!</definedName>
    <definedName name="__ma74_4">#REF!</definedName>
    <definedName name="__MAM1">#REF!</definedName>
    <definedName name="__MAR9091">#REF!</definedName>
    <definedName name="__mbc2" hidden="1">{#N/A,#N/A,FALSE,"QC REVIEW"}</definedName>
    <definedName name="__MC1" hidden="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md1">#REF!</definedName>
    <definedName name="__md10">#REF!</definedName>
    <definedName name="__md11">#REF!</definedName>
    <definedName name="__md12">#REF!</definedName>
    <definedName name="__md13">#REF!</definedName>
    <definedName name="__md14">#REF!</definedName>
    <definedName name="__md15">#REF!</definedName>
    <definedName name="__md2">#REF!</definedName>
    <definedName name="__md3">#REF!</definedName>
    <definedName name="__md4">#REF!</definedName>
    <definedName name="__md5">#REF!</definedName>
    <definedName name="__md6">#REF!</definedName>
    <definedName name="__md7">#REF!</definedName>
    <definedName name="__md8">#REF!</definedName>
    <definedName name="__md9">#REF!</definedName>
    <definedName name="__Mei97">#REF!</definedName>
    <definedName name="__MKT1">#REF!</definedName>
    <definedName name="__MKT10">#REF!</definedName>
    <definedName name="__MKT11">#REF!</definedName>
    <definedName name="__MKT2">#REF!</definedName>
    <definedName name="__MKT3">#REF!</definedName>
    <definedName name="__MKT4">#REF!</definedName>
    <definedName name="__MKT5">#REF!</definedName>
    <definedName name="__MKT6">#REF!</definedName>
    <definedName name="__MKT7">#REF!</definedName>
    <definedName name="__MKT8">#REF!</definedName>
    <definedName name="__MKT9">#REF!</definedName>
    <definedName name="__mno9" hidden="1">{"detail",#N/A,FALSE,"mfg";"summary",#N/A,FALSE,"mfg"}</definedName>
    <definedName name="__mor1" hidden="1">#REF!</definedName>
    <definedName name="__N2" hidden="1">{"'OBT_6M_30_6'!$S$1:$AE$53"}</definedName>
    <definedName name="__nc151">#REF!</definedName>
    <definedName name="__NET2">#REF!</definedName>
    <definedName name="__New1">#REF!</definedName>
    <definedName name="__NN10">#REF!</definedName>
    <definedName name="__NN9">#REF!</definedName>
    <definedName name="__NO1">#REF!</definedName>
    <definedName name="__NO2">#REF!</definedName>
    <definedName name="__NO3">#REF!</definedName>
    <definedName name="__NO4">#REF!</definedName>
    <definedName name="__NO5">#REF!</definedName>
    <definedName name="__NO6">#REF!</definedName>
    <definedName name="__NO7">#REF!</definedName>
    <definedName name="__NSO2" hidden="1">{"'Sheet1'!$L$16"}</definedName>
    <definedName name="__O1" hidden="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__OB99">#REF!</definedName>
    <definedName name="__OP1">#REF!</definedName>
    <definedName name="__OP2">#REF!</definedName>
    <definedName name="__OP3">#REF!</definedName>
    <definedName name="__OP4">#REF!</definedName>
    <definedName name="__OS1" hidden="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_P1">#REF!</definedName>
    <definedName name="__PF1">#REF!</definedName>
    <definedName name="__PF2">#REF!</definedName>
    <definedName name="__PF3">#REF!</definedName>
    <definedName name="__PG02">#REF!</definedName>
    <definedName name="__PG1">#REF!</definedName>
    <definedName name="__PG10">#REF!</definedName>
    <definedName name="__PG11">#REF!</definedName>
    <definedName name="__PG12">#REF!</definedName>
    <definedName name="__pg14">#REF!</definedName>
    <definedName name="__PG2">#REF!</definedName>
    <definedName name="__pg3">#REF!</definedName>
    <definedName name="__PG4">#REF!</definedName>
    <definedName name="__pg45">#REF!</definedName>
    <definedName name="__PG5">#REF!</definedName>
    <definedName name="__PG6">#REF!</definedName>
    <definedName name="__PG62">#REF!</definedName>
    <definedName name="__pg7">#REF!</definedName>
    <definedName name="__PG8">#REF!</definedName>
    <definedName name="__pg9">#REF!</definedName>
    <definedName name="__pg99">#REF!</definedName>
    <definedName name="__PGE1">#REF!</definedName>
    <definedName name="__PGE10">#REF!</definedName>
    <definedName name="__PGE2">#REF!</definedName>
    <definedName name="__PGE3">#REF!</definedName>
    <definedName name="__PGE4">#REF!</definedName>
    <definedName name="__PGE5">#REF!</definedName>
    <definedName name="__PGE6">#REF!</definedName>
    <definedName name="__PGE7">#REF!</definedName>
    <definedName name="__PGE8">#REF!</definedName>
    <definedName name="__PGE9">#REF!</definedName>
    <definedName name="__PM1">#REF!</definedName>
    <definedName name="__pm2">#REF!</definedName>
    <definedName name="__PP1" hidden="1">{#N/A,#N/A,FALSE,"COMICRO";#N/A,#N/A,FALSE,"BALSCH";#N/A,#N/A,FALSE,"GLASS";#N/A,#N/A,FALSE,"DEPRE";#N/A,#N/A,FALSE,"A&amp;MCUR";#N/A,#N/A,FALSE,"AGEANAlysis";#N/A,#N/A,FALSE,"CHECKS";#N/A,#N/A,FALSE,"CHECKS"}</definedName>
    <definedName name="__PR1" hidden="1">{#N/A,#N/A,FALSE,"QC REVIEW"}</definedName>
    <definedName name="__pr11" hidden="1">{#N/A,#N/A,FALSE,"QC REVIEW"}</definedName>
    <definedName name="__pr2" hidden="1">{#N/A,#N/A,FALSE,"QC REVIEW"}</definedName>
    <definedName name="__pr3" hidden="1">{#N/A,#N/A,FALSE,"QC REVIEW"}</definedName>
    <definedName name="__pr31" hidden="1">{#N/A,#N/A,FALSE,"QC REVIEW"}</definedName>
    <definedName name="__pr4" hidden="1">{#N/A,#N/A,FALSE,"QC REVIEW"}</definedName>
    <definedName name="__pr5" hidden="1">{#N/A,#N/A,FALSE,"QC REVIEW"}</definedName>
    <definedName name="__prs3" hidden="1">{#N/A,#N/A,FALSE,"QC REVIEW"}</definedName>
    <definedName name="__prs5" hidden="1">{#N/A,#N/A,FALSE,"QC REVIEW"}</definedName>
    <definedName name="__pwf320">#REF!</definedName>
    <definedName name="__pwf326">#REF!</definedName>
    <definedName name="__q2" hidden="1">{#N/A,#N/A,FALSE,"COVER1.XLS ";#N/A,#N/A,FALSE,"RACT1.XLS";#N/A,#N/A,FALSE,"RACT2.XLS";#N/A,#N/A,FALSE,"ECCMP";#N/A,#N/A,FALSE,"WELDER.XLS"}</definedName>
    <definedName name="__qtr02">#REF!</definedName>
    <definedName name="__qtr4">#REF!</definedName>
    <definedName name="__r" hidden="1">{#N/A,#N/A,FALSE,"Pharm";#N/A,#N/A,FALSE,"WWCM"}</definedName>
    <definedName name="__Ram1" hidden="1">{#N/A,#N/A,TRUE,"BALSCH";#N/A,#N/A,TRUE,"COMICRO";#N/A,#N/A,TRUE,"CHECKS";#N/A,#N/A,TRUE,"GLASS";#N/A,#N/A,TRUE,"DEPRE";#N/A,#N/A,TRUE,"A&amp;MCUR";#N/A,#N/A,TRUE,"AGEANAlysis";#N/A,#N/A,TRUE,"CHECKS"}</definedName>
    <definedName name="__RAM7">#REF!</definedName>
    <definedName name="__RAN1">#N/A</definedName>
    <definedName name="__RAN2">#REF!</definedName>
    <definedName name="__RAN3">#REF!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ED04">#REF!</definedName>
    <definedName name="__ro10">#REF!</definedName>
    <definedName name="__rpt1">#REF!</definedName>
    <definedName name="__rpt2">#REF!</definedName>
    <definedName name="__RSE1">#REF!</definedName>
    <definedName name="__RT25" hidden="1">{#N/A,#N/A,FALSE,"Umsatz 99";#N/A,#N/A,FALSE,"ER 99 "}</definedName>
    <definedName name="__s1">#REF!</definedName>
    <definedName name="__s3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s34" hidden="1">{"QTD_GENERALH2",#N/A,FALSE,"QTD"}</definedName>
    <definedName name="__SC13">#REF!</definedName>
    <definedName name="__SCG123">#REF!</definedName>
    <definedName name="__sch1">#REF!</definedName>
    <definedName name="__SCH10">#REF!</definedName>
    <definedName name="__sch11">#REF!</definedName>
    <definedName name="__sch2">#REF!</definedName>
    <definedName name="__sch20">#REF!</definedName>
    <definedName name="__sch212">#REF!</definedName>
    <definedName name="__sch3">#REF!</definedName>
    <definedName name="__sch4">#REF!</definedName>
    <definedName name="__sch5">#REF!</definedName>
    <definedName name="__sch6">#REF!</definedName>
    <definedName name="__sch7">#REF!</definedName>
    <definedName name="__sch8">#REF!</definedName>
    <definedName name="__sch81">#REF!</definedName>
    <definedName name="__sch82">#REF!</definedName>
    <definedName name="__sch83">#REF!</definedName>
    <definedName name="__sch84">#REF!</definedName>
    <definedName name="__sch9">#REF!</definedName>
    <definedName name="__sd34" hidden="1">{"QTD",#N/A,FALSE,"SUM"}</definedName>
    <definedName name="__sep97">#REF!</definedName>
    <definedName name="__SH3">#N/A</definedName>
    <definedName name="__sht1">#REF!</definedName>
    <definedName name="__Sort" hidden="1">#REF!</definedName>
    <definedName name="__ST1">#REF!</definedName>
    <definedName name="__sti02" hidden="1">{#N/A,#N/A,FALSE,"gc (2)"}</definedName>
    <definedName name="__sum1">#REF!</definedName>
    <definedName name="__sum3">#REF!</definedName>
    <definedName name="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a1" hidden="1">{#N/A,#N/A,TRUE,"Financials";#N/A,#N/A,TRUE,"Operating Statistics";#N/A,#N/A,TRUE,"Capex &amp; Depreciation";#N/A,#N/A,TRUE,"Debt"}</definedName>
    <definedName name="__tb1" hidden="1">{#N/A,#N/A,FALSE,"One Pager";#N/A,#N/A,FALSE,"Technical"}</definedName>
    <definedName name="__tb2">#REF!</definedName>
    <definedName name="__TB2004">#REF!</definedName>
    <definedName name="__TC1901">#REF!</definedName>
    <definedName name="__tct5">#REF!</definedName>
    <definedName name="__tg427">#REF!</definedName>
    <definedName name="__TH20">#REF!</definedName>
    <definedName name="__TLT1">#REF!</definedName>
    <definedName name="__tlt1_4">#REF!</definedName>
    <definedName name="__tm1" hidden="1">{#N/A,#N/A,FALSE,"Pharm";#N/A,#N/A,FALSE,"WWCM"}</definedName>
    <definedName name="__TOP2">#REF!</definedName>
    <definedName name="__TOT1">#REF!</definedName>
    <definedName name="__TOT2">#REF!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UER1">#REF!</definedName>
    <definedName name="__V2" hidden="1">{#N/A,#N/A,FALSE,"Tabl. A1";#N/A,#N/A,FALSE,"Tabl. A1 b";#N/A,#N/A,FALSE,"Tabl. A2";#N/A,#N/A,FALSE,"Tabl. A2-1";#N/A,#N/A,FALSE,"Tabl. A2-2"}</definedName>
    <definedName name="__VEN1">#REF!</definedName>
    <definedName name="__VEN2">#REF!</definedName>
    <definedName name="__VEN3">#REF!</definedName>
    <definedName name="__VEN4">#REF!</definedName>
    <definedName name="__VEN5">#REF!</definedName>
    <definedName name="__VEN6">#REF!</definedName>
    <definedName name="__VEN7">#REF!</definedName>
    <definedName name="__VEN8">#REF!</definedName>
    <definedName name="__w2" hidden="1">{#N/A,#N/A,FALSE,"17MAY";#N/A,#N/A,FALSE,"24MAY"}</definedName>
    <definedName name="__wd1" hidden="1">{#N/A,#N/A,FALSE,"Aging Summary";#N/A,#N/A,FALSE,"Ratio Analysis";#N/A,#N/A,FALSE,"Test 120 Day Accts";#N/A,#N/A,FALSE,"Tickmarks"}</definedName>
    <definedName name="__wrn1" hidden="1">{#N/A,#N/A,FALSE,"DCF";#N/A,#N/A,FALSE,"WACC";#N/A,#N/A,FALSE,"Sales_EBIT";#N/A,#N/A,FALSE,"Capex_Depreciation";#N/A,#N/A,FALSE,"WC";#N/A,#N/A,FALSE,"Interest";#N/A,#N/A,FALSE,"Assumptions"}</definedName>
    <definedName name="__wz1234">#REF!</definedName>
    <definedName name="__x1" hidden="1">{"detail",#N/A,FALSE,"mfg";"summary",#N/A,FALSE,"mfg"}</definedName>
    <definedName name="__X2" hidden="1">{#N/A,#N/A,FALSE,"Other";#N/A,#N/A,FALSE,"Ace";#N/A,#N/A,FALSE,"Derm"}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fn.BAHTTEXT" hidden="1">#NAME?</definedName>
    <definedName name="__xlfn.RTD" hidden="1">#NAME?</definedName>
    <definedName name="__xlnm.Print_Titles">#REF!</definedName>
    <definedName name="__xlnm.Print_Titles_1">#N/A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YN1">#REF!</definedName>
    <definedName name="__YN2">#REF!</definedName>
    <definedName name="__YN3">#REF!</definedName>
    <definedName name="__z12" hidden="1">{"pro_view",#N/A,FALSE,"EEFSNAP2";"rep_view",#N/A,FALSE,"EEFSNAP2"}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x3">#REF!</definedName>
    <definedName name="__zx3_4">#REF!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0">#REF!</definedName>
    <definedName name="_01_10_93">#REF!</definedName>
    <definedName name="_0603">#REF!</definedName>
    <definedName name="_1">#REF!</definedName>
    <definedName name="_1_">#REF!</definedName>
    <definedName name="_1_?">"SQRT"</definedName>
    <definedName name="_1_____Excel_BuiltIn_Print_Area_1">#REF!</definedName>
    <definedName name="_1__123Graph_ACHART_1A" hidden="1">#REF!</definedName>
    <definedName name="_1__123Graph_ASALES_MONTH" hidden="1">#REF!</definedName>
    <definedName name="_1__wrn.²Ä1­Ó¤ë1_Ü20¤H." hidden="1">{#N/A,#N/A,FALSE,"²Ä1­Ó¤ë"}</definedName>
    <definedName name="_1_0_0BENEF">#REF!</definedName>
    <definedName name="_1_11">#REF!</definedName>
    <definedName name="_1_1ST_UPDCAP">#REF!</definedName>
    <definedName name="_1_Excel_BuiltIn_Print_Area_1">#REF!</definedName>
    <definedName name="_10">#REF!</definedName>
    <definedName name="_10_?_?_?" hidden="1">{#N/A,#N/A,FALSE,"IPEC Stair Step";#N/A,#N/A,FALSE,"Overview";#N/A,#N/A,FALSE,"Supporting Explanations"}</definedName>
    <definedName name="_10___Excel_BuiltIn_Print_Area_4_1">#REF!</definedName>
    <definedName name="_10__123Graph_BCHART_3" hidden="1">#REF!</definedName>
    <definedName name="_10__123Graph_XSALES_MONTH" hidden="1">#REF!</definedName>
    <definedName name="_10_0_0CO">#REF!</definedName>
    <definedName name="_10_0_0MIS_C">#REF!</definedName>
    <definedName name="_10_29B_ANNX">#REF!</definedName>
    <definedName name="_1000">#REF!</definedName>
    <definedName name="_1000A01">#N/A</definedName>
    <definedName name="_1008__123Graph_LBL_ACHART_14" hidden="1">#REF!</definedName>
    <definedName name="_1044__123Graph_LBL_ACHART_15" hidden="1">#REF!</definedName>
    <definedName name="_106_115JAA">#REF!</definedName>
    <definedName name="_107_115JBNEW">#REF!</definedName>
    <definedName name="_108__123Graph_ACHART_11" hidden="1">#REF!</definedName>
    <definedName name="_108_29B_ANNX">#REF!</definedName>
    <definedName name="_1080__123Graph_LBL_ACHART_16" hidden="1">#REF!</definedName>
    <definedName name="_10P">#REF!</definedName>
    <definedName name="_10TRÒ_GIAÙ">#REF!</definedName>
    <definedName name="_11">#REF!</definedName>
    <definedName name="_11___Excel_BuiltIn_Print_Area_5_1">#REF!</definedName>
    <definedName name="_11__123Graph_XSALES_PERIOD" hidden="1">#REF!</definedName>
    <definedName name="_110_35_2AA">#REF!</definedName>
    <definedName name="_111_35_2AB_SUMM">#REF!</definedName>
    <definedName name="_1116__123Graph_LBL_ACHART_2" hidden="1">#REF!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43B">#REF!</definedName>
    <definedName name="_113_??677947699">#REF!</definedName>
    <definedName name="_113_80G">#REF!</definedName>
    <definedName name="_114_??695115505">#REF!</definedName>
    <definedName name="_114_80IB">#REF!</definedName>
    <definedName name="_1152__123Graph_LBL_ACHART_3" hidden="1">#REF!</definedName>
    <definedName name="_115CAP_GAIN">#REF!</definedName>
    <definedName name="_115JAA">#REF!</definedName>
    <definedName name="_115JBNEW">#REF!</definedName>
    <definedName name="_116">#REF!</definedName>
    <definedName name="_116_??709037899">#REF!</definedName>
    <definedName name="_1163A">#REF!</definedName>
    <definedName name="_1163SUM">#REF!</definedName>
    <definedName name="_116FORM_29B">#REF!</definedName>
    <definedName name="_117_??760723590">#REF!</definedName>
    <definedName name="_117MAÕ_HAØNG">#REF!</definedName>
    <definedName name="_1188__123Graph_LBL_ACHART_4" hidden="1">#REF!</definedName>
    <definedName name="_119_??774740099">#REF!</definedName>
    <definedName name="_11A">#REF!</definedName>
    <definedName name="_11Emp_Detail">#REF!</definedName>
    <definedName name="_11P">#REF!</definedName>
    <definedName name="_11TRÒ_GIAÙ__VAT">#REF!</definedName>
    <definedName name="_12">#REF!</definedName>
    <definedName name="_12_??.18">#REF!</definedName>
    <definedName name="_12___Excel_BuiltIn_Print_Area_8_1">#REF!</definedName>
    <definedName name="_12__123Graph_XGRAFICO_2" hidden="1">#N/A</definedName>
    <definedName name="_12__123Graph_XSALES_PIE" hidden="1">#REF!</definedName>
    <definedName name="_12_0_0Chargeba">#REF!</definedName>
    <definedName name="_12_0_0COS">#REF!</definedName>
    <definedName name="_12_0_0PROJECT_O">#REF!</definedName>
    <definedName name="_12_14">#REF!</definedName>
    <definedName name="_12_35_2AA">#REF!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??814490019">#REF!</definedName>
    <definedName name="_1224__123Graph_LBL_ACHART_5" hidden="1">#REF!</definedName>
    <definedName name="_123_??829801618">#REF!</definedName>
    <definedName name="_124_??862619339">#REF!</definedName>
    <definedName name="_124MAÕ_SOÁ_THUEÁ">#REF!</definedName>
    <definedName name="_126_??910964309">#REF!</definedName>
    <definedName name="_1260__123Graph_LBL_ACHART_6" hidden="1">#REF!</definedName>
    <definedName name="_1296__123Graph_LBL_ACHART_7" hidden="1">#REF!</definedName>
    <definedName name="_12Excel_BuiltIn_Print_Area_4_1">#REF!</definedName>
    <definedName name="_12Excel_BuiltIn_Print_Area_8_1">#REF!</definedName>
    <definedName name="_12P">#REF!</definedName>
    <definedName name="_13">#REF!</definedName>
    <definedName name="_13_??.19">#REF!</definedName>
    <definedName name="_13__123Graph_LBL_ACHART_3" hidden="1">#REF!</definedName>
    <definedName name="_13__Excel_BuiltIn_Print_Area_1">#REF!</definedName>
    <definedName name="_13_0_0BENEF">#REF!</definedName>
    <definedName name="_13_35_2AB_SUMM">#REF!</definedName>
    <definedName name="_13_FIXED_ASSETS_net">#REF!</definedName>
    <definedName name="_130_??961953162">#REF!</definedName>
    <definedName name="_131ÑÔN_GIAÙ">#REF!</definedName>
    <definedName name="_132PAGE_4">#REF!</definedName>
    <definedName name="_133_??980003236" hidden="1">#REF!</definedName>
    <definedName name="_1332__123Graph_LBL_ACHART_8" hidden="1">#REF!</definedName>
    <definedName name="_133PAGE_5">#REF!</definedName>
    <definedName name="_134PAGE_7">#REF!</definedName>
    <definedName name="_135_??A">#REF!</definedName>
    <definedName name="_135SEC_35">#REF!</definedName>
    <definedName name="_136_??abs">#REF!</definedName>
    <definedName name="_136_29B_ANNX">#REF!</definedName>
    <definedName name="_1368__123Graph_LBL_ACHART_9" hidden="1">#REF!</definedName>
    <definedName name="_137_??B">#REF!</definedName>
    <definedName name="_138_??cost">#REF!</definedName>
    <definedName name="_138_35_2AA">#REF!</definedName>
    <definedName name="_139_35_2AB_SUMM">#REF!</definedName>
    <definedName name="_13BENEF">#REF!</definedName>
    <definedName name="_13F" hidden="1">#N/A</definedName>
    <definedName name="_13wrn.²Ä1­Ó¤ë1_Ü20¤H." hidden="1">{#N/A,#N/A,FALSE,"²Ä1­Ó¤ë"}</definedName>
    <definedName name="_14">#REF!</definedName>
    <definedName name="_14__Excel_BuiltIn_Print_Area_4_1">#REF!</definedName>
    <definedName name="_14_0_0BENEFIT">#REF!</definedName>
    <definedName name="_14_0_0COST">#REF!</definedName>
    <definedName name="_14_15">#REF!</definedName>
    <definedName name="_14_43B">#REF!</definedName>
    <definedName name="_140_CAP_GAIN">#REF!</definedName>
    <definedName name="_1404__123Graph_LBL_BCHART_1" hidden="1">#REF!</definedName>
    <definedName name="_141_??DOM">#REF!</definedName>
    <definedName name="_141_FORM_29B">#REF!</definedName>
    <definedName name="_142_??DOM">#REF!</definedName>
    <definedName name="_142_MAÕ_HAØNG">#REF!</definedName>
    <definedName name="_142SOÁ_CTÖØ">#REF!</definedName>
    <definedName name="_143SOÁ_LÖÔÏNG">#REF!</definedName>
    <definedName name="_144__123Graph_ACHART_12" hidden="1">#REF!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0__123Graph_LBL_BCHART_2" hidden="1">#REF!</definedName>
    <definedName name="_145_?_??_NAVA__PROJECT?__??_">#REF!</definedName>
    <definedName name="_145_MAÕ_SOÁ_THUEÁ">#REF!</definedName>
    <definedName name="_146_?_?_">#REF!</definedName>
    <definedName name="_147_?__?">#REF!</definedName>
    <definedName name="_1476__123Graph_LBL_BCHART_3" hidden="1">#REF!</definedName>
    <definedName name="_148_?___?">#REF!</definedName>
    <definedName name="_148_ÑÔN_GIAÙ">#REF!</definedName>
    <definedName name="_149_?____R3_t">#REF!</definedName>
    <definedName name="_149_PAGE_4">#REF!</definedName>
    <definedName name="_14BENEFIT">#REF!</definedName>
    <definedName name="_15">#REF!</definedName>
    <definedName name="_15_??.20">#REF!</definedName>
    <definedName name="_15__Excel_BuiltIn_Print_Area_5_1">#REF!</definedName>
    <definedName name="_15_0_0BENEFITS">#REF!</definedName>
    <definedName name="_15_0_0CO">#REF!</definedName>
    <definedName name="_15_80G">#REF!</definedName>
    <definedName name="_150_?1">#REF!</definedName>
    <definedName name="_150_PAGE_5">#REF!</definedName>
    <definedName name="_150TEÂN_HAØNG">#REF!</definedName>
    <definedName name="_151_?1430">#REF!</definedName>
    <definedName name="_151_PAGE_7">#REF!</definedName>
    <definedName name="_1512__123Graph_LBL_BCHART_4" hidden="1">#REF!</definedName>
    <definedName name="_152_?169">#REF!</definedName>
    <definedName name="_152_SEC_35">#REF!</definedName>
    <definedName name="_154_?95?">#REF!</definedName>
    <definedName name="_1548__123Graph_XCHART_1" hidden="1">#REF!</definedName>
    <definedName name="_155_?ddd">#REF!</definedName>
    <definedName name="_155___1702">#REF!</definedName>
    <definedName name="_155___1703">#REF!</definedName>
    <definedName name="_155___1704">#REF!</definedName>
    <definedName name="_155_SOÁ_CTÖØ">#REF!</definedName>
    <definedName name="_156_?LIST">#REF!</definedName>
    <definedName name="_156_SOÁ_LÖÔÏNG">#REF!</definedName>
    <definedName name="_157TEÂN_KHAÙCH_HAØ">#REF!</definedName>
    <definedName name="_158¿¹_êÃÑ°ý½ÃÆ_¼³ONLY">#REF!</definedName>
    <definedName name="_1584__123Graph_XCHART_10" hidden="1">#REF!</definedName>
    <definedName name="_159_TEÂN_HAØNG">#REF!</definedName>
    <definedName name="_159±â¾È°">#REF!</definedName>
    <definedName name="_15BENEFITS">#REF!</definedName>
    <definedName name="_16">#REF!</definedName>
    <definedName name="_16_??.21">#REF!</definedName>
    <definedName name="_16__Excel_BuiltIn_Print_Area_8_1">#REF!</definedName>
    <definedName name="_16_0_0Chargeba">#REF!</definedName>
    <definedName name="_16_0_0COST_BENEF">#REF!</definedName>
    <definedName name="_16_16">#REF!</definedName>
    <definedName name="_16_80IB">#REF!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±â¾ÈÀ">#REF!</definedName>
    <definedName name="_161±âÁ¸Â÷¹_Á_Á¡">#REF!</definedName>
    <definedName name="_162_TEÂN_KHAÙCH_HAØ">#REF!</definedName>
    <definedName name="_1620__123Graph_XCHART_11" hidden="1">#REF!</definedName>
    <definedName name="_162Á_¸ñ">#REF!</definedName>
    <definedName name="_163ÁÖ¿ä¹_Á_Á¡">#REF!</definedName>
    <definedName name="_164THAØNH_TIEÀN">#REF!</definedName>
    <definedName name="_165_THAØNH_TIEÀN">#REF!</definedName>
    <definedName name="_1656__123Graph_XCHART_12" hidden="1">#REF!</definedName>
    <definedName name="_168_TRÒ_GIAÙ">#REF!</definedName>
    <definedName name="_1692__123Graph_XCHART_13" hidden="1">#REF!</definedName>
    <definedName name="_16Chargeba">#REF!</definedName>
    <definedName name="_17">#REF!</definedName>
    <definedName name="_17_??.22">#REF!</definedName>
    <definedName name="_17_0_0CO">#REF!</definedName>
    <definedName name="_17_Excel_BuiltIn_Print_Area_1">#REF!</definedName>
    <definedName name="_171_TRÒ_GIAÙ__VAT">#REF!</definedName>
    <definedName name="_171TRÒ_GIAÙ">#REF!</definedName>
    <definedName name="_1728__123Graph_XCHART_14" hidden="1">#REF!</definedName>
    <definedName name="_175_115JAA">#REF!</definedName>
    <definedName name="_176_115JBNEW">#REF!</definedName>
    <definedName name="_1764__123Graph_XCHART_15" hidden="1">#REF!</definedName>
    <definedName name="_177_29B_ANNX">#REF!</definedName>
    <definedName name="_178TRÒ_GIAÙ__VAT">#REF!</definedName>
    <definedName name="_179_35_2AA">#REF!</definedName>
    <definedName name="_17CAP_GAIN">#REF!</definedName>
    <definedName name="_17CO">#REF!</definedName>
    <definedName name="_18">#REF!</definedName>
    <definedName name="_18_??.23">#REF!</definedName>
    <definedName name="_18_???">#REF!</definedName>
    <definedName name="_18_0_0COS">#REF!</definedName>
    <definedName name="_18_17">#REF!</definedName>
    <definedName name="_18_Excel_BuiltIn_Print_Area_4_1">#REF!</definedName>
    <definedName name="_180__123Graph_ACHART_13" hidden="1">#REF!</definedName>
    <definedName name="_180_35_2AB_SUMM">#REF!</definedName>
    <definedName name="_1800__123Graph_XCHART_16" hidden="1">#REF!</definedName>
    <definedName name="_181_43B">#REF!</definedName>
    <definedName name="_182_80G">#REF!</definedName>
    <definedName name="_183_80IB">#REF!</definedName>
    <definedName name="_1836__123Graph_XCHART_2" hidden="1">#REF!</definedName>
    <definedName name="_184CAP_GAIN">#REF!</definedName>
    <definedName name="_185FORM_29B">#REF!</definedName>
    <definedName name="_186MAÕ_HAØNG">#REF!</definedName>
    <definedName name="_1872__123Graph_XCHART_3" hidden="1">#REF!</definedName>
    <definedName name="_189MAÕ_SOÁ_THUEÁ">#REF!</definedName>
    <definedName name="_18COS">#REF!</definedName>
    <definedName name="_18Excel_BuiltIn_Print_Area_5_1">#REF!</definedName>
    <definedName name="_18FORM_29B">#REF!</definedName>
    <definedName name="_19_??.24">#REF!</definedName>
    <definedName name="_19_????">#REF!</definedName>
    <definedName name="_19_0_0COST">#REF!</definedName>
    <definedName name="_19_Excel_BuiltIn_Print_Area_5_1">#REF!</definedName>
    <definedName name="_1902">#REF!</definedName>
    <definedName name="_1908__123Graph_XCHART_4" hidden="1">#REF!</definedName>
    <definedName name="_192ÑÔN_GIAÙ">#REF!</definedName>
    <definedName name="_193PAGE_4">#REF!</definedName>
    <definedName name="_1944__123Graph_XCHART_5" hidden="1">#REF!</definedName>
    <definedName name="_194PAGE_5">#REF!</definedName>
    <definedName name="_195PAGE_7">#REF!</definedName>
    <definedName name="_196SEC_35">#REF!</definedName>
    <definedName name="_1980__123Graph_XCHART_6" hidden="1">#REF!</definedName>
    <definedName name="_1987">#REF!</definedName>
    <definedName name="_1989">#REF!</definedName>
    <definedName name="_199SOÁ_CTÖØ">#REF!</definedName>
    <definedName name="_19COST">#REF!</definedName>
    <definedName name="_19PAGE_4">#REF!</definedName>
    <definedName name="_1App">#REF!</definedName>
    <definedName name="_1AUS__REC">#REF!</definedName>
    <definedName name="_1E____ဠ0__큌〈Ř">#REF!</definedName>
    <definedName name="_1Excel_BuiltIn_Print_Area_1">#REF!</definedName>
    <definedName name="_1Excel_BuiltIn_Print_Area_1_1">#REF!</definedName>
    <definedName name="_1Excel_BuiltIn_Print_Area_11_1_1_1_1">#REF!</definedName>
    <definedName name="_1Excel_BuiltIn_Print_Area_5_1">#N/A</definedName>
    <definedName name="_1LEAD_SCHEDULE">#REF!</definedName>
    <definedName name="_1P">#REF!</definedName>
    <definedName name="_1PRINT_ALL_IN">#REF!</definedName>
    <definedName name="_1ST_LINE">#REF!</definedName>
    <definedName name="_1wrn.²Ä1­Ó¤ë1_Ü20¤H." hidden="1">{#N/A,#N/A,FALSE,"²Ä1­Ó¤ë"}</definedName>
    <definedName name="_2">#REF!</definedName>
    <definedName name="_2_____Excel_BuiltIn_Print_Area_4_1">#REF!</definedName>
    <definedName name="_2__123Graph_ACHART_1A" hidden="1">#REF!</definedName>
    <definedName name="_2__123Graph_AChart_1AJ" hidden="1">#REF!</definedName>
    <definedName name="_2__123Graph_ASALES_PERIOD" hidden="1">#REF!</definedName>
    <definedName name="_2__123Graph_XCHART_1A" hidden="1">#REF!</definedName>
    <definedName name="_2_0_0BENEF">#REF!</definedName>
    <definedName name="_2_0_0BENEFIT">#REF!</definedName>
    <definedName name="_2_12">#REF!</definedName>
    <definedName name="_2_1STUPDCAPDETAIL">#REF!</definedName>
    <definedName name="_2_Excel_BuiltIn_Print_Area_4_1">#REF!</definedName>
    <definedName name="_2_SUM_OF_USAGE">#REF!</definedName>
    <definedName name="_2_wrn.²Ä1­Ó¤ë1_Ü20¤H." hidden="1">{#N/A,#N/A,FALSE,"²Ä1­Ó¤ë"}</definedName>
    <definedName name="_20_0_0COST_BENEF">#REF!</definedName>
    <definedName name="_20_0_0MIS_C">#REF!</definedName>
    <definedName name="_20_Excel_BuiltIn_Print_Area_8_1">#REF!</definedName>
    <definedName name="_200SOÁ_LÖÔÏNG">#REF!</definedName>
    <definedName name="_2016__123Graph_XCHART_7" hidden="1">#REF!</definedName>
    <definedName name="_203TEÂN_HAØNG">#REF!</definedName>
    <definedName name="_2052__123Graph_XCHART_8" hidden="1">#REF!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TEÂN_KHAÙCH_HAØ">#REF!</definedName>
    <definedName name="_207">#REF!</definedName>
    <definedName name="_2088__123Graph_XCHART_9" hidden="1">#REF!</definedName>
    <definedName name="_209THAØNH_TIEÀN">#REF!</definedName>
    <definedName name="_20COST_BENEF">#REF!</definedName>
    <definedName name="_20PAGE_5">#REF!</definedName>
    <definedName name="_21">#REF!</definedName>
    <definedName name="_21_??.4">#REF!</definedName>
    <definedName name="_21_0_0COST">#REF!</definedName>
    <definedName name="_21_3T02_GEAE_SCH6">#REF!</definedName>
    <definedName name="_212TRÒ_GIAÙ">#REF!</definedName>
    <definedName name="_215TRÒ_GIAÙ__VAT">#REF!</definedName>
    <definedName name="_216__123Graph_ACHART_14" hidden="1">#REF!</definedName>
    <definedName name="_21Excel_BuiltIn_Print_Area_1">#REF!</definedName>
    <definedName name="_21PAGE_7">#REF!</definedName>
    <definedName name="_22">#REF!</definedName>
    <definedName name="_22_??.5">#REF!</definedName>
    <definedName name="_22_0_0MIS_C">#REF!</definedName>
    <definedName name="_22è_ŒW˜ðŽÐŠO_ã”ƒ“ü?–¾_×_‘">#REF!</definedName>
    <definedName name="_22Excel_BuiltIn_Print_Area_4_1">#REF!</definedName>
    <definedName name="_22MIS_C">#REF!</definedName>
    <definedName name="_22SEC_35">#REF!</definedName>
    <definedName name="_23">#REF!</definedName>
    <definedName name="_23Excel_BuiltIn_Print_Area_5_1">#REF!</definedName>
    <definedName name="_23MOREV">#N/A</definedName>
    <definedName name="_24">#REF!</definedName>
    <definedName name="_24_0_0COST_BENEF">#REF!</definedName>
    <definedName name="_24_0_0PROJECT_O">#REF!</definedName>
    <definedName name="_24Excel_BuiltIn_Print_Area_8_1">#REF!</definedName>
    <definedName name="_24PROJECT_O">#REF!</definedName>
    <definedName name="_25">#REF!</definedName>
    <definedName name="_25_??.8">#REF!</definedName>
    <definedName name="_252__123Graph_ACHART_15" hidden="1">#REF!</definedName>
    <definedName name="_254">#REF!</definedName>
    <definedName name="_25CHECK">#REF!</definedName>
    <definedName name="_26">#REF!</definedName>
    <definedName name="_27">#REF!</definedName>
    <definedName name="_27_??.AA">#REF!</definedName>
    <definedName name="_274A" hidden="1">{#N/A,#N/A,FALSE,"QC REVIEW"}</definedName>
    <definedName name="_28">#REF!</definedName>
    <definedName name="_28_???">#REF!</definedName>
    <definedName name="_288__123Graph_ACHART_16" hidden="1">#REF!</definedName>
    <definedName name="_28CHECK">#REF!</definedName>
    <definedName name="_29">#REF!</definedName>
    <definedName name="_29_????">#REF!</definedName>
    <definedName name="_2ANNEX_C_1">#REF!</definedName>
    <definedName name="_2AUS__REC">#REF!</definedName>
    <definedName name="_2B_9">#REF!</definedName>
    <definedName name="_2Excel_BuiltIn__FilterDatabase_3_1">#REF!</definedName>
    <definedName name="_2Excel_BuiltIn_Print_Area_1">#REF!</definedName>
    <definedName name="_2Excel_BuiltIn_Print_Area_11_1_1_1_1_1">#REF!</definedName>
    <definedName name="_2Excel_BuiltIn_Print_Area_4_1">#REF!</definedName>
    <definedName name="_2Excel_BuiltIn_Print_Area_5_1">#N/A</definedName>
    <definedName name="_2Excel_BuiltIn_Print_Area_5_1_1">"$#REF!.$B$71:$F$87"</definedName>
    <definedName name="_2MAÕ_HAØNG">#REF!</definedName>
    <definedName name="_2P">#REF!</definedName>
    <definedName name="_2PRINT_DC">#REF!</definedName>
    <definedName name="_2PROG_SU">#REF!</definedName>
    <definedName name="_2USD_REC">#REF!</definedName>
    <definedName name="_2W">#REF!</definedName>
    <definedName name="_2wrn.²Ä1­Ó¤ë1_Ü20¤H." hidden="1">{#N/A,#N/A,FALSE,"²Ä1­Ó¤ë"}</definedName>
    <definedName name="_3">#REF!</definedName>
    <definedName name="_3_____Excel_BuiltIn_Print_Area_5_1">#REF!</definedName>
    <definedName name="_3__123Graph_AChart_1Q" hidden="1">#REF!</definedName>
    <definedName name="_3__123Graph_ASALES_PIE" hidden="1">#REF!</definedName>
    <definedName name="_3_0_0BENEF">#REF!</definedName>
    <definedName name="_3_0_0BENEFITS">#REF!</definedName>
    <definedName name="_3_2NDUPDCAP00">#REF!</definedName>
    <definedName name="_3_5">#REF!</definedName>
    <definedName name="_3_Excel_BuiltIn_Print_Area_5_1">#REF!</definedName>
    <definedName name="_3_MONTHS_LC_MOVEMENT">#REF!</definedName>
    <definedName name="_30">#REF!</definedName>
    <definedName name="_30_????.94.BB">#REF!</definedName>
    <definedName name="_30_0_0MIS_C">#REF!</definedName>
    <definedName name="_31">#REF!</definedName>
    <definedName name="_31_?????">#REF!</definedName>
    <definedName name="_31030">+#REF!+#REF!+#REF!+#REF!+#REF!+#REF!+#REF!+#REF!+#REF!+#REF!+#REF!+#REF!+#REF!+#REF!+#REF!+#REF!+#REF!+#REF!+#REF!+#REF!+#REF!+#REF!+#REF!+#REF!+#REF!+#REF!+#REF!+#REF!</definedName>
    <definedName name="_31031">_31030+#REF!+#REF!+#REF!+#REF!+#REF!+#REF!+#REF!+#REF!+#REF!+#REF!+#REF!+#REF!+#REF!+#REF!+#REF!+#REF!+#REF!+#REF!+#REF!+#REF!+#REF!+#REF!+#REF!+#REF!+#REF!+#REF!+#REF!</definedName>
    <definedName name="_31032">_31031+#REF!+#REF!+#REF!+#REF!+#REF!+#REF!+#REF!+#REF!+#REF!+#REF!+#REF!+#REF!+#REF!+#REF!+#REF!+#REF!+#REF!+#REF!+#REF!+#REF!+#REF!+#REF!+#REF!+#REF!+#REF!+#REF!+#REF!</definedName>
    <definedName name="_31033">_31032+#REF!+#REF!+#REF!+#REF!+#REF!+#REF!+#REF!+#REF!+#REF!+#REF!+#REF!+#REF!+#REF!+#REF!+#REF!+#REF!+#REF!+#REF!+#REF!+#REF!+#REF!+#REF!+#REF!+#REF!+#REF!+#REF!+#REF!</definedName>
    <definedName name="_31034">_31033+#REF!+#REF!+#REF!+#REF!+#REF!+#REF!+#REF!+#REF!+#REF!+#REF!+#REF!+#REF!+#REF!+#REF!+#REF!+#REF!+#REF!+#REF!+#REF!+#REF!+#REF!+#REF!+#REF!+#REF!+#REF!+#REF!+#REF!</definedName>
    <definedName name="_31035">_31034+#REF!+#REF!+#REF!+#REF!+#REF!+#REF!+#REF!+#REF!+#REF!+#REF!+#REF!+#REF!+#REF!+#REF!+#REF!+#REF!+#REF!+#REF!+#REF!+#REF!+#REF!+#REF!+#REF!+#REF!+#REF!+#REF!+#REF!</definedName>
    <definedName name="_31036">_31035+#REF!+#REF!+#REF!+#REF!+#REF!+#REF!+#REF!+#REF!+#REF!+#REF!+#REF!+#REF!+#REF!+#REF!+#REF!+#REF!+#REF!+#REF!+#REF!+#REF!+#REF!+#REF!+#REF!+#REF!+#REF!+#REF!+#REF!</definedName>
    <definedName name="_31037">_31036+#REF!+#REF!+#REF!+#REF!+#REF!+#REF!+#REF!+#REF!+#REF!+#REF!+#REF!+#REF!+#REF!+#REF!+#REF!+#REF!+#REF!+#REF!+#REF!+#REF!+#REF!+#REF!+#REF!+#REF!+#REF!+#REF!+#REF!</definedName>
    <definedName name="_32">#REF!</definedName>
    <definedName name="_32_??????" hidden="1">#REF!</definedName>
    <definedName name="_324__123Graph_ACHART_2" hidden="1">#REF!</definedName>
    <definedName name="_3260">+#REF!+#REF!+#REF!+#REF!+#REF!+#REF!+#REF!+#REF!+#REF!+#REF!-#REF!-#REF!-#REF!-#REF!-#REF!-#REF!-#REF!-#REF!-#REF!-#REF!-#REF!-#REF!-#REF!-#REF!-#REF!-#REF!-#REF!-#REF!</definedName>
    <definedName name="_32F0">+#REF!+#REF!+#REF!+#REF!+#REF!+#REF!+#REF!+#REF!+#REF!+#REF!-#REF!-#REF!-#REF!-#REF!-#REF!-#REF!-#REF!-#REF!-#REF!-#REF!-#REF!-#REF!-#REF!-#REF!-#REF!-#REF!-#REF!-#REF!</definedName>
    <definedName name="_33">#REF!</definedName>
    <definedName name="_33_???????">#REF!</definedName>
    <definedName name="_34">#REF!</definedName>
    <definedName name="_34_????????">#REF!</definedName>
    <definedName name="_35_?????????">#REF!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BB0">+#REF!+#REF!+#REF!+#REF!+#REF!+#REF!+#REF!+#REF!+#REF!+#REF!+#REF!+#REF!+#REF!+#REF!+#REF!+#REF!+#REF!+#REF!+#REF!+#REF!+#REF!+#REF!+#REF!+#REF!+#REF!+#REF!+#REF!+#REF!</definedName>
    <definedName name="_36__123Graph_ACHART_1" hidden="1">#REF!</definedName>
    <definedName name="_36_0_0PROJECT_O">#REF!</definedName>
    <definedName name="_360__123Graph_ACHART_3" hidden="1">#REF!</definedName>
    <definedName name="_3690">+#REF!+#REF!+#REF!+#REF!+#REF!+#REF!+#REF!+#REF!+#REF!+#REF!+#REF!+#REF!+#REF!+#REF!+#REF!+#REF!+#REF!+#REF!+#REF!+#REF!+#REF!+#REF!+#REF!+#REF!+#REF!+#REF!+#REF!+#REF!</definedName>
    <definedName name="_37_???????_???????_">#REF!</definedName>
    <definedName name="_3700">+#REF!+#REF!+#REF!+#REF!+#REF!+#REF!+#REF!+#REF!+#REF!+#REF!+#REF!+#REF!+#REF!+#REF!+#REF!+#REF!+#REF!+#REF!+#REF!+#REF!+#REF!+#REF!+#REF!+#REF!+#REF!+#REF!+#REF!+#REF!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0">-#REF!-#REF!-#REF!-#REF!-#REF!-#REF!-#REF!-#REF!-#REF!-#REF!-#REF!-#REF!-#REF!-#REF!-#REF!-#REF!-#REF!-#REF!-#REF!-#REF!-#REF!-#REF!-#REF!-#REF!-#REF!-#REF!-#REF!-#REF!</definedName>
    <definedName name="_37D1">+#REF!+#REF!+#REF!+#REF!+#REF!+#REF!+#REF!+#REF!+#REF!+#REF!+#REF!+#REF!+#REF!+#REF!+#REF!+#REF!+#REF!+#REF!+#REF!+#REF!+#REF!+#REF!+#REF!+#REF!+#REF!+#REF!+#REF!+#REF!</definedName>
    <definedName name="_38_???????ONLY">#REF!</definedName>
    <definedName name="_396__123Graph_ACHART_4" hidden="1">#REF!</definedName>
    <definedName name="_3970">+#REF!+#REF!+#REF!+#REF!+#REF!+#REF!+#REF!+#REF!+#REF!+#REF!+#REF!+#REF!+#REF!+#REF!+#REF!+#REF!+#REF!+#REF!+#REF!+#REF!+#REF!+#REF!+#REF!+#REF!+#REF!+#REF!+#REF!+#REF!</definedName>
    <definedName name="_39E1">+#REF!+#REF!+#REF!+#REF!+#REF!+#REF!+#REF!+#REF!+#REF!+#REF!+#REF!+#REF!+#REF!+#REF!+#REF!+#REF!+#REF!+#REF!+#REF!+#REF!+#REF!+#REF!+#REF!+#REF!+#REF!+#REF!+#REF!+#REF!</definedName>
    <definedName name="_3AB0">+#REF!+#REF!+#REF!+#REF!+#REF!+#REF!+#REF!+#REF!+#REF!+#REF!+#REF!+#REF!+#REF!+#REF!+#REF!+#REF!+#REF!+#REF!+#REF!+#REF!+#REF!+#REF!+#REF!+#REF!+#REF!+#REF!+#REF!+#REF!</definedName>
    <definedName name="_3AD0">+#REF!+#REF!+#REF!+#REF!+#REF!+#REF!+#REF!+#REF!+#REF!+#REF!+#REF!+#REF!+#REF!+#REF!+#REF!+#REF!+#REF!+#REF!+#REF!+#REF!+#REF!+#REF!+#REF!+#REF!+#REF!+#REF!+#REF!+#REF!</definedName>
    <definedName name="_3B00">-#REF!+#REF!+#REF!+#REF!+#REF!+#REF!+#REF!+#REF!+#REF!+#REF!+#REF!+#REF!+#REF!+#REF!+#REF!+#REF!+#REF!+#REF!+#REF!+#REF!+#REF!+#REF!+#REF!+#REF!+#REF!+#REF!+#REF!+#REF!</definedName>
    <definedName name="_3B01">_3B00+#REF!+#REF!+#REF!+#REF!+#REF!+#REF!+#REF!+#REF!+#REF!+#REF!+#REF!+#REF!+#REF!+#REF!+#REF!+#REF!+#REF!+#REF!+#REF!+#REF!+#REF!+#REF!+#REF!+#REF!+#REF!+#REF!+#REF!</definedName>
    <definedName name="_3B02">_3B01+#REF!+#REF!+#REF!+#REF!+#REF!+#REF!+#REF!+#REF!+#REF!+#REF!+#REF!+#REF!+#REF!+#REF!+#REF!+#REF!+#REF!+#REF!+#REF!+#REF!+#REF!+#REF!+#REF!+#REF!+#REF!+#REF!+#REF!</definedName>
    <definedName name="_3B03">#N/A</definedName>
    <definedName name="_3B90">+#REF!+#REF!+#REF!+#REF!+#REF!+#REF!+#REF!+#REF!+#REF!+#REF!+#REF!+#REF!+#REF!+#REF!+#REF!+#REF!+#REF!+#REF!+#REF!+#REF!+#REF!+#REF!+#REF!+#REF!+#REF!+#REF!+#REF!+#REF!</definedName>
    <definedName name="_3B91">_3B90+#REF!+#REF!+#REF!+#REF!+#REF!+#REF!+#REF!+#REF!+#REF!+#REF!+#REF!+#REF!+#REF!+#REF!+#REF!+#REF!+#REF!+#REF!+#REF!+#REF!+#REF!+#REF!+#REF!+#REF!+#REF!+#REF!+#REF!</definedName>
    <definedName name="_3B92">_3B91+#REF!+#REF!+#REF!+#REF!+#REF!+#REF!+#REF!+#REF!+#REF!+#REF!+#REF!+#REF!+#REF!+#REF!+#REF!+#REF!+#REF!+#REF!+#REF!+#REF!+#REF!+#REF!+#REF!+#REF!+#REF!+#REF!+#REF!</definedName>
    <definedName name="_3B93">#N/A</definedName>
    <definedName name="_3D340">+#REF!+#REF!+#REF!+#REF!+#REF!+#REF!+#REF!+#REF!+#REF!+#REF!+#REF!+#REF!+#REF!+#REF!+#REF!+#REF!+#REF!+#REF!+#REF!+#REF!+#REF!+#REF!+#REF!+#REF!+#REF!+#REF!+#REF!+#REF!</definedName>
    <definedName name="_3D571">+#REF!+#REF!+#REF!+#REF!+#REF!+#REF!+#REF!+#REF!+#REF!+#REF!+#REF!+#REF!+#REF!+#REF!+#REF!+#REF!+#REF!+#REF!+#REF!+#REF!+#REF!+#REF!+#REF!+#REF!+#REF!+#REF!+#REF!+#REF!</definedName>
    <definedName name="_3D762">+#REF!+#REF!+#REF!+#REF!+#REF!+#REF!+#REF!+#REF!+#REF!+#REF!+#REF!+#REF!+#REF!+#REF!+#REF!+#REF!+#REF!+#REF!+#REF!+#REF!+#REF!+#REF!+#REF!+#REF!+#REF!+#REF!+#REF!+#REF!</definedName>
    <definedName name="_3EA20">+#REF!+#REF!+#REF!+#REF!+#REF!+#REF!+#REF!+#REF!+#REF!+#REF!+#REF!+#REF!+#REF!+#REF!+#REF!+#REF!+#REF!+#REF!+#REF!+#REF!+#REF!+#REF!+#REF!+#REF!+#REF!+#REF!+#REF!+#REF!</definedName>
    <definedName name="_3EE10">+#REF!+#REF!+#REF!+#REF!+#REF!+#REF!+#REF!+#REF!+#REF!+#REF!+#REF!+#REF!+#REF!+#REF!+#REF!+#REF!+#REF!+#REF!+#REF!+#REF!+#REF!+#REF!+#REF!+#REF!+#REF!+#REF!+#REF!+#REF!</definedName>
    <definedName name="_3Excel_BuiltIn_Print_Area_1">#REF!</definedName>
    <definedName name="_3Excel_BuiltIn_Print_Area_12_1_1">#REF!</definedName>
    <definedName name="_3Excel_BuiltIn_Print_Area_5_1">#REF!</definedName>
    <definedName name="_3Excel_BuiltIn_Print_Area_5_1_1">"$#REF!.$B$71:$F$87"</definedName>
    <definedName name="_3F041">+#REF!+#REF!+#REF!+#REF!+#REF!+#REF!+#REF!+#REF!+#REF!+#REF!+#REF!+#REF!+#REF!+#REF!+#REF!+#REF!+#REF!+#REF!+#REF!+#REF!+#REF!+#REF!+#REF!+#REF!+#REF!+#REF!+#REF!+#REF!</definedName>
    <definedName name="_3F540">+#REF!+#REF!+#REF!+#REF!+#REF!+#REF!+#REF!+#REF!+#REF!+#REF!+#REF!+#REF!+#REF!+#REF!+#REF!+#REF!+#REF!+#REF!+#REF!+#REF!+#REF!+#REF!+#REF!+#REF!+#REF!+#REF!+#REF!+#REF!</definedName>
    <definedName name="_3MAÕ_SOÁ_THUEÁ">#REF!</definedName>
    <definedName name="_3P">#REF!</definedName>
    <definedName name="_3T02_GEAE_SCH6">#REF!</definedName>
    <definedName name="_3W">#REF!</definedName>
    <definedName name="_3wrn.²Ä1­Ó¤ë1_Ü20¤H." hidden="1">{#N/A,#N/A,FALSE,"²Ä1­Ó¤ë"}</definedName>
    <definedName name="_4">#REF!</definedName>
    <definedName name="_4_??.10">#REF!</definedName>
    <definedName name="_4_???">#REF!</definedName>
    <definedName name="_4_____Excel_BuiltIn_Print_Area_8_1">#REF!</definedName>
    <definedName name="_4__123Graph_BChart_1Q" hidden="1">#REF!</definedName>
    <definedName name="_4__123Graph_BGRAFICO_2" hidden="1">#N/A</definedName>
    <definedName name="_4__123Graph_BSALES_MONTH" hidden="1">#REF!</definedName>
    <definedName name="_4__123Graph_XCHART_1A" hidden="1">#REF!</definedName>
    <definedName name="_4_0_0BENEFIT">#REF!</definedName>
    <definedName name="_4_0_0Chargeba">#REF!</definedName>
    <definedName name="_4_10">#REF!</definedName>
    <definedName name="_4_Excel_BuiltIn_Print_Area_8_1">#REF!</definedName>
    <definedName name="_40_?????2?">#REF!</definedName>
    <definedName name="_4000">#REF!</definedName>
    <definedName name="_4001">#REF!</definedName>
    <definedName name="_42wrn.²Ä1­Ó¤ë1_Ü20¤H." hidden="1">{#N/A,#N/A,FALSE,"²Ä1­Ó¤ë"}</definedName>
    <definedName name="_432__123Graph_ACHART_5" hidden="1">#REF!</definedName>
    <definedName name="_43B">#REF!</definedName>
    <definedName name="_45">#N/A</definedName>
    <definedName name="_456">#REF!</definedName>
    <definedName name="_456GRAPH_B" hidden="1">#REF!</definedName>
    <definedName name="_45wrn.²Ä1­Ó¤ë1_Ü20¤H." hidden="1">{#N/A,#N/A,FALSE,"²Ä1­Ó¤ë"}</definedName>
    <definedName name="_468__123Graph_ACHART_6" hidden="1">#REF!</definedName>
    <definedName name="_47_????_????.">#REF!</definedName>
    <definedName name="_49_????1">#REF!</definedName>
    <definedName name="_491">#REF!</definedName>
    <definedName name="_493">#REF!</definedName>
    <definedName name="_494">#REF!</definedName>
    <definedName name="_496">#REF!</definedName>
    <definedName name="_49wrn.²Ä1­Ó¤ë1_Ü20¤H." hidden="1">{#N/A,#N/A,FALSE,"²Ä1­Ó¤ë"}</definedName>
    <definedName name="_4Excel_BuiltIn_Print_Area_12_1_1_1">#REF!</definedName>
    <definedName name="_4Excel_BuiltIn_Print_Area_4_1">#REF!</definedName>
    <definedName name="_4Excel_BuiltIn_Print_Area_8_1">#REF!</definedName>
    <definedName name="_4ÑÔN_GIAÙ">#REF!</definedName>
    <definedName name="_4ORIG_CAP_PLAN">#REF!</definedName>
    <definedName name="_4P">#REF!</definedName>
    <definedName name="_4USD_REC">#REF!</definedName>
    <definedName name="_4W">#REF!</definedName>
    <definedName name="_4wrn.²Ä1­Ó¤ë1_Ü20¤H." hidden="1">{#N/A,#N/A,FALSE,"²Ä1­Ó¤ë"}</definedName>
    <definedName name="_5">#REF!</definedName>
    <definedName name="_5_????">#REF!</definedName>
    <definedName name="_5____Excel_BuiltIn_Print_Area_1">#REF!</definedName>
    <definedName name="_5__123Graph_BSALES_PIE" hidden="1">#REF!</definedName>
    <definedName name="_5_0_0CO">#REF!</definedName>
    <definedName name="_50_????2">#REF!</definedName>
    <definedName name="_504">#REF!</definedName>
    <definedName name="_504__123Graph_ACHART_7" hidden="1">#REF!</definedName>
    <definedName name="_50Excel_BuiltIn_Print_Area_4_1">#REF!</definedName>
    <definedName name="_50wrn.²Ä1­Ó¤ë1_Ü20¤H." hidden="1">{#N/A,#N/A,FALSE,"²Ä1­Ó¤ë"}</definedName>
    <definedName name="_52_????5?">#REF!</definedName>
    <definedName name="_5300">#REF!</definedName>
    <definedName name="_540__123Graph_ACHART_8" hidden="1">#REF!</definedName>
    <definedName name="_55_???1">#N/A</definedName>
    <definedName name="_56_???10">#REF!</definedName>
    <definedName name="_562">#REF!</definedName>
    <definedName name="_576__123Graph_ACHART_9" hidden="1">#REF!</definedName>
    <definedName name="_58_???12">#REF!</definedName>
    <definedName name="_59">#REF!</definedName>
    <definedName name="_59_???13">#REF!</definedName>
    <definedName name="_5Excel_BuiltIn_Print_Area_1">#REF!</definedName>
    <definedName name="_5Excel_BuiltIn_Print_Area_28_1_1_1_1">#REF!</definedName>
    <definedName name="_5P">#REF!</definedName>
    <definedName name="_5SOÁ_CTÖØ">#REF!</definedName>
    <definedName name="_6">#REF!</definedName>
    <definedName name="_6____Excel_BuiltIn_Print_Area_4_1">#REF!</definedName>
    <definedName name="_6__123Graph_CGRAFICO_2" hidden="1">#N/A</definedName>
    <definedName name="_6__123Graph_CSALES_MONTH" hidden="1">#REF!</definedName>
    <definedName name="_6_0_0BENEFITS">#REF!</definedName>
    <definedName name="_6_0_0COS">#REF!</definedName>
    <definedName name="_6_11">#REF!</definedName>
    <definedName name="_6_6">#REF!</definedName>
    <definedName name="_60">#N/A</definedName>
    <definedName name="_60wrn.²Ä1­Ó¤ë1_Ü20¤H." hidden="1">{#N/A,#N/A,FALSE,"²Ä1­Ó¤ë"}</definedName>
    <definedName name="_61">#REF!</definedName>
    <definedName name="_612__123Graph_BCHART_1" hidden="1">#REF!</definedName>
    <definedName name="_648__123Graph_BCHART_2" hidden="1">#REF!</definedName>
    <definedName name="_66_CITIES">#REF!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4__123Graph_BCHART_3" hidden="1">#REF!</definedName>
    <definedName name="_687">#REF!</definedName>
    <definedName name="_69_??0">#REF!</definedName>
    <definedName name="_6è_ŒW˜ðŽÐŠO_ã”ƒ“ü?–¾_×_‘">#REF!</definedName>
    <definedName name="_6Excel_BuiltIn_Print_Area_1">#REF!</definedName>
    <definedName name="_6Excel_BuiltIn_Print_Area_4_1">#REF!</definedName>
    <definedName name="_6Excel_BuiltIn_Print_Area_5_1">#REF!</definedName>
    <definedName name="_6P">#REF!</definedName>
    <definedName name="_6SOÁ_LÖÔÏNG">#REF!</definedName>
    <definedName name="_6T">#REF!</definedName>
    <definedName name="_7">#REF!</definedName>
    <definedName name="_7_????????" hidden="1">{#N/A,#N/A,FALSE,"IPEC Stair Step";#N/A,#N/A,FALSE,"Overview";#N/A,#N/A,FALSE,"Supporting Explanations"}</definedName>
    <definedName name="_7____Excel_BuiltIn_Print_Area_5_1">#REF!</definedName>
    <definedName name="_7__123Graph_DGRAFICO_2" hidden="1">#N/A</definedName>
    <definedName name="_7__123Graph_DSALES_MONTH" hidden="1">#REF!</definedName>
    <definedName name="_7_0_0COST">#REF!</definedName>
    <definedName name="_7_8">#REF!</definedName>
    <definedName name="_71_??045352756">#REF!</definedName>
    <definedName name="_72__123Graph_ACHART_10" hidden="1">#REF!</definedName>
    <definedName name="_720__123Graph_BCHART_4" hidden="1">#REF!</definedName>
    <definedName name="_756__123Graph_BCHART_6" hidden="1">#REF!</definedName>
    <definedName name="_76a1_" hidden="1">{"Comparisons",#N/A,FALSE,"CAP SPEND SUM"}</definedName>
    <definedName name="_792__123Graph_BCHART_7" hidden="1">#REF!</definedName>
    <definedName name="_7ACCA_N_">#REF!</definedName>
    <definedName name="_7ACCA_SNGLPAGE">#REF!</definedName>
    <definedName name="_7Excel_BuiltIn_Print_Area_5_1">#REF!</definedName>
    <definedName name="_7LOAN_INT">#REF!</definedName>
    <definedName name="_7P">#REF!</definedName>
    <definedName name="_7TEÂN_HAØNG">#REF!</definedName>
    <definedName name="_8">#REF!</definedName>
    <definedName name="_8____Excel_BuiltIn_Print_Area_8_1">#REF!</definedName>
    <definedName name="_8__123Graph_ACHART_3" hidden="1">#REF!</definedName>
    <definedName name="_8__123Graph_EGRAFICO_2" hidden="1">#N/A</definedName>
    <definedName name="_8__123Graph_ESALES_MONTH" hidden="1">#REF!</definedName>
    <definedName name="_8_0_0Chargeba">#REF!</definedName>
    <definedName name="_8_0_0COST_BENEF">#REF!</definedName>
    <definedName name="_8_115JAA">#REF!</definedName>
    <definedName name="_8_12">#REF!</definedName>
    <definedName name="_80_??111">#REF!</definedName>
    <definedName name="_80Excel_BuiltIn_Print_Area_8_1">#REF!</definedName>
    <definedName name="_80G">#REF!</definedName>
    <definedName name="_80HHC">#REF!</definedName>
    <definedName name="_80IB">#REF!</definedName>
    <definedName name="_80M_WORKING">#N/A</definedName>
    <definedName name="_828__123Graph_LBL_ACHART_1" hidden="1">#REF!</definedName>
    <definedName name="_838">#REF!</definedName>
    <definedName name="_839">#REF!</definedName>
    <definedName name="_86_??226866006">#REF!</definedName>
    <definedName name="_864">#REF!</definedName>
    <definedName name="_864__123Graph_LBL_ACHART_10" hidden="1">#REF!</definedName>
    <definedName name="_877">#REF!</definedName>
    <definedName name="_88_??269731580">#REF!</definedName>
    <definedName name="_883">#REF!</definedName>
    <definedName name="_887">#REF!</definedName>
    <definedName name="_888">#REF!</definedName>
    <definedName name="_889">#REF!</definedName>
    <definedName name="_890">#REF!</definedName>
    <definedName name="_8945036420013598010E4892A102">#REF!</definedName>
    <definedName name="_899">#REF!</definedName>
    <definedName name="_8Excel_BuiltIn_Print_Area_8_1">#REF!</definedName>
    <definedName name="_8IN_LINE">#REF!</definedName>
    <definedName name="_8LOAN_REPAY">#REF!</definedName>
    <definedName name="_8P">#REF!</definedName>
    <definedName name="_8TEÂN_KHAÙCH_HAØ">#REF!</definedName>
    <definedName name="_8wrn.²Ä1­Ó¤ë1_Ü20¤H." hidden="1">{#N/A,#N/A,FALSE,"²Ä1­Ó¤ë"}</definedName>
    <definedName name="_9">#REF!</definedName>
    <definedName name="_9___Excel_BuiltIn_Print_Area_1">#REF!</definedName>
    <definedName name="_9__123Graph_FGRAFICO_2" hidden="1">#N/A</definedName>
    <definedName name="_9__123Graph_FSALES_MONTH" hidden="1">#REF!</definedName>
    <definedName name="_9_0_0BENEFITS">#REF!</definedName>
    <definedName name="_9_115JBNEW">#REF!</definedName>
    <definedName name="_9_Drop_Down_List_Master">#REF!</definedName>
    <definedName name="_900">#REF!</definedName>
    <definedName name="_900__123Graph_LBL_ACHART_11" hidden="1">#REF!</definedName>
    <definedName name="_902">#REF!</definedName>
    <definedName name="_904">#REF!</definedName>
    <definedName name="_905">#REF!</definedName>
    <definedName name="_909">#REF!</definedName>
    <definedName name="_911">#REF!</definedName>
    <definedName name="_912">#REF!</definedName>
    <definedName name="_914">#REF!</definedName>
    <definedName name="_916销售成本">#REF!</definedName>
    <definedName name="_918">#REF!</definedName>
    <definedName name="_92_??3">#REF!</definedName>
    <definedName name="_920">#REF!</definedName>
    <definedName name="_922">#REF!</definedName>
    <definedName name="_924">#REF!</definedName>
    <definedName name="_93_??301948010">#REF!</definedName>
    <definedName name="_932">#REF!</definedName>
    <definedName name="_935">#REF!</definedName>
    <definedName name="_936__123Graph_LBL_ACHART_12" hidden="1">#REF!</definedName>
    <definedName name="_94_??353472649">#REF!</definedName>
    <definedName name="_940">#REF!</definedName>
    <definedName name="_941">#REF!</definedName>
    <definedName name="_942">#REF!</definedName>
    <definedName name="_944">#REF!</definedName>
    <definedName name="_95BW_18B647_AA">#REF!</definedName>
    <definedName name="_97_??404834150">#REF!</definedName>
    <definedName name="_9712">#REF!</definedName>
    <definedName name="_9712销售成本">#REF!</definedName>
    <definedName name="_972__123Graph_LBL_ACHART_13" hidden="1">#REF!</definedName>
    <definedName name="_98AB_19289_AA">#REF!</definedName>
    <definedName name="_98AG_18B604_AC">#REF!</definedName>
    <definedName name="_98AG_18B604_BC">#REF!</definedName>
    <definedName name="_98AW_15984_AA">#REF!</definedName>
    <definedName name="_98AW_18456_AA">#REF!</definedName>
    <definedName name="_98AW_18456_BA">#REF!</definedName>
    <definedName name="_98AW_18476_AA">#REF!</definedName>
    <definedName name="_98AW_18476_BA">#REF!</definedName>
    <definedName name="_98AW_18478_AA">#REF!</definedName>
    <definedName name="_98AW_18478_BA">#REF!</definedName>
    <definedName name="_98AW_18568_AA">#REF!</definedName>
    <definedName name="_98AW_18568_BA">#REF!</definedName>
    <definedName name="_98AW_18592_AA">#REF!</definedName>
    <definedName name="_98AW_18592_BA">#REF!</definedName>
    <definedName name="_98AW_18634_AA">#REF!</definedName>
    <definedName name="_98AW_18A420_AA">#REF!</definedName>
    <definedName name="_98AW_18A470_AA">#REF!</definedName>
    <definedName name="_98AW_18A478_AA">#REF!</definedName>
    <definedName name="_98AW_18A584_AA">#REF!</definedName>
    <definedName name="_98AW_18A584_BA">#REF!</definedName>
    <definedName name="_98AW_18A584_CA">#REF!</definedName>
    <definedName name="_98AW_18A606_AA">#REF!</definedName>
    <definedName name="_98AW_18C333_AA">#REF!</definedName>
    <definedName name="_98AW_18C333_BA">#REF!</definedName>
    <definedName name="_98AW_18C333_CA">#REF!</definedName>
    <definedName name="_98AW_18C333_DA">#REF!</definedName>
    <definedName name="_98AW_18C581_AA">#REF!</definedName>
    <definedName name="_98AW_18D326_AA">#REF!</definedName>
    <definedName name="_98AW_18D326_BA">#REF!</definedName>
    <definedName name="_98AW_18D326_BB">#REF!</definedName>
    <definedName name="_98AW_18D326_CA">#REF!</definedName>
    <definedName name="_98AW_18D326_DA">#REF!</definedName>
    <definedName name="_98AW_18K295_AA">#REF!</definedName>
    <definedName name="_98AW_18K295_BA">#REF!</definedName>
    <definedName name="_98AW_18K377_AA">#REF!</definedName>
    <definedName name="_98AW_18K413_AA">#REF!</definedName>
    <definedName name="_98AW_18K418_AA">#REF!</definedName>
    <definedName name="_98AW_18K418_BA">#REF!</definedName>
    <definedName name="_98AW_18K444_AA">#REF!</definedName>
    <definedName name="_98AW_18K444_BA">#REF!</definedName>
    <definedName name="_98AW_18K484_AA">#REF!</definedName>
    <definedName name="_98AW_18K484_BA">#REF!</definedName>
    <definedName name="_98AW_18K511_AA">#REF!</definedName>
    <definedName name="_98AW_18K511_BA">#REF!</definedName>
    <definedName name="_98AW_18K511_CA">#REF!</definedName>
    <definedName name="_98AW_19413_AA">#REF!</definedName>
    <definedName name="_98AW_19788_AA">#REF!</definedName>
    <definedName name="_98AW_19860_AB">#REF!</definedName>
    <definedName name="_98AW_19860_BB">#REF!</definedName>
    <definedName name="_98AW_19865_AA">#REF!</definedName>
    <definedName name="_98AW_19955_AA">#REF!</definedName>
    <definedName name="_98AW_19955_BA">#REF!</definedName>
    <definedName name="_98AW_19955_CA">#REF!</definedName>
    <definedName name="_98AW_19B555_AA">#REF!</definedName>
    <definedName name="_98AW_19B555_BA">#REF!</definedName>
    <definedName name="_98AW_19B555_CA">#REF!</definedName>
    <definedName name="_98AW_19B588_AA">#REF!</definedName>
    <definedName name="_98AW_19B588_BA">#REF!</definedName>
    <definedName name="_98AW_19D578_AA">#REF!</definedName>
    <definedName name="_98AW_19D578_BA">#REF!</definedName>
    <definedName name="_98AW_19E616_CA">#REF!</definedName>
    <definedName name="_9Excel_BuiltIn_Print_Area_5_1">#REF!</definedName>
    <definedName name="_9FLOW">#REF!</definedName>
    <definedName name="_9P">#REF!</definedName>
    <definedName name="_9PRE_SELL">#REF!</definedName>
    <definedName name="_9THAØNH_TIEÀN">#REF!</definedName>
    <definedName name="_a">#REF!</definedName>
    <definedName name="_a1" hidden="1">{#N/A,#N/A,FALSE,"Pharm";#N/A,#N/A,FALSE,"WWCM"}</definedName>
    <definedName name="_A11" hidden="1">{#N/A,#N/A,FALSE,"Umsatz 99";#N/A,#N/A,FALSE,"ER 99 "}</definedName>
    <definedName name="_A16385">#REF!</definedName>
    <definedName name="_A16400">#REF!</definedName>
    <definedName name="_A16484">#REF!</definedName>
    <definedName name="_a16500">#REF!</definedName>
    <definedName name="_a2">#N/A</definedName>
    <definedName name="_Ａ４1">#N/A</definedName>
    <definedName name="_Ａ４2">#N/A</definedName>
    <definedName name="_A65536">#REF!</definedName>
    <definedName name="_A65537">#REF!</definedName>
    <definedName name="_a65554">#REF!</definedName>
    <definedName name="_a65600">#REF!</definedName>
    <definedName name="_a65700">#REF!</definedName>
    <definedName name="_a65800">#REF!</definedName>
    <definedName name="_a66000">#REF!</definedName>
    <definedName name="_a665536">#REF!</definedName>
    <definedName name="_a66669">#REF!</definedName>
    <definedName name="_a99999999">#N/A</definedName>
    <definedName name="_AA1" hidden="1">{#N/A,#N/A,TRUE,"BALSCH";#N/A,#N/A,TRUE,"COMICRO";#N/A,#N/A,TRUE,"CHECKS";#N/A,#N/A,TRUE,"GLASS";#N/A,#N/A,TRUE,"DEPRE";#N/A,#N/A,TRUE,"A&amp;MCUR";#N/A,#N/A,TRUE,"AGEANAlysis";#N/A,#N/A,TRUE,"CHECKS"}</definedName>
    <definedName name="_aaa1" hidden="1">{#N/A,#N/A,FALSE,"REPORT"}</definedName>
    <definedName name="_AAA1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AAL1">#REF!</definedName>
    <definedName name="_AAL2">#REF!</definedName>
    <definedName name="_aas1" hidden="1">{#N/A,#N/A,FALSE,"REPORT"}</definedName>
    <definedName name="_AAS9950">#REF!</definedName>
    <definedName name="_ab098" hidden="1">{#N/A,"PURCHM",FALSE,"Business Analysis";#N/A,"SPADD",FALSE,"Business Analysis"}</definedName>
    <definedName name="_aba2">#REF!</definedName>
    <definedName name="_abc098" hidden="1">{#N/A,"PURCHM",FALSE,"Business Analysis";#N/A,"SPADD",FALSE,"Business Analysis"}</definedName>
    <definedName name="_abc1" hidden="1">{"'W.W. Summary'!$A$1:$K$37"}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{"detail",#N/A,FALSE,"mfg";"summary",#N/A,FALSE,"mfg"}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" hidden="1">{"'W.W. Summary'!$A$1:$K$37"}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CC1">#REF!</definedName>
    <definedName name="_ACG1">#REF!</definedName>
    <definedName name="_ACG10">#REF!</definedName>
    <definedName name="_ACG11">#REF!</definedName>
    <definedName name="_ACG2">#REF!</definedName>
    <definedName name="_ACG3">#REF!</definedName>
    <definedName name="_ACG4">#REF!</definedName>
    <definedName name="_ACG5">#REF!</definedName>
    <definedName name="_ACG6">#REF!</definedName>
    <definedName name="_ACG7">#REF!</definedName>
    <definedName name="_ACG8">#REF!</definedName>
    <definedName name="_ACG9">#REF!</definedName>
    <definedName name="_ACK1">#REF!</definedName>
    <definedName name="_ACK2">#REF!</definedName>
    <definedName name="_Acq1">#REF!</definedName>
    <definedName name="_Acq2">#REF!</definedName>
    <definedName name="_Acq3">#REF!</definedName>
    <definedName name="_Acq4">#REF!</definedName>
    <definedName name="_ACS2000" hidden="1">{#N/A,#N/A,FALSE,"REPORT"}</definedName>
    <definedName name="_AD42881">#REF!</definedName>
    <definedName name="_ADD1">#REF!</definedName>
    <definedName name="_ADD2">#REF!</definedName>
    <definedName name="_ADD3">#REF!</definedName>
    <definedName name="_adh10">#REF!</definedName>
    <definedName name="_adh26">#REF!</definedName>
    <definedName name="_ADJ2">#REF!</definedName>
    <definedName name="_ads10">#REF!</definedName>
    <definedName name="_ads26">#REF!</definedName>
    <definedName name="_age1" hidden="1">{"'Mach'!$A$1:$D$39"}</definedName>
    <definedName name="_AMT13300">#N/A</definedName>
    <definedName name="_AMT13502">#N/A</definedName>
    <definedName name="_AMT41301">#N/A</definedName>
    <definedName name="_AMT85116">#N/A</definedName>
    <definedName name="_AMT85125">#N/A</definedName>
    <definedName name="_AMT86106">#N/A</definedName>
    <definedName name="_Ann1">#REF!</definedName>
    <definedName name="_ann2">#REF!</definedName>
    <definedName name="_ann3">#REF!</definedName>
    <definedName name="_ANT01">#REF!</definedName>
    <definedName name="_ANT02">#REF!</definedName>
    <definedName name="_ANT03">#REF!</definedName>
    <definedName name="_ANT04">#REF!</definedName>
    <definedName name="_ANT05">#REF!</definedName>
    <definedName name="_ANT06">#REF!</definedName>
    <definedName name="_ANT07">#REF!</definedName>
    <definedName name="_ANT08">#REF!</definedName>
    <definedName name="_ANT09">#REF!</definedName>
    <definedName name="_ANT10">#REF!</definedName>
    <definedName name="_ANT11">#REF!</definedName>
    <definedName name="_ANT12">#REF!</definedName>
    <definedName name="_ap2" hidden="1">{"detail",#N/A,FALSE,"mfg";"summary",#N/A,FALSE,"mfg"}</definedName>
    <definedName name="_APP6">#REF!</definedName>
    <definedName name="_Apr01">#REF!</definedName>
    <definedName name="_as3" hidden="1">#REF!</definedName>
    <definedName name="_ASC1">#REF!</definedName>
    <definedName name="_ASC2">#REF!</definedName>
    <definedName name="_asd1">#REF!</definedName>
    <definedName name="_Ash1">#REF!</definedName>
    <definedName name="_ass2">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tt3">#REF!</definedName>
    <definedName name="_att4">#REF!</definedName>
    <definedName name="_Avg0708">#REF!</definedName>
    <definedName name="_b111" hidden="1">{#N/A,#N/A,FALSE,"Pharm";#N/A,#N/A,FALSE,"WWCM"}</definedName>
    <definedName name="_B2">#REF!</definedName>
    <definedName name="_BAL1">#REF!</definedName>
    <definedName name="_BAL2">#REF!</definedName>
    <definedName name="_BAL3">#REF!</definedName>
    <definedName name="_BD01" hidden="1">{"'7'!$B$15:$D$32"}</definedName>
    <definedName name="_bdm.10D0E3C52DB44AB0A1C6746AE3522252.edm" hidden="1">#REF!</definedName>
    <definedName name="_bdm.22a4cf9a46db4a03919917f89e9373bd.edm" hidden="1">#REF!</definedName>
    <definedName name="_bdm.37A8781564CE406BBBA912C3F309BF50.edm" hidden="1">#REF!</definedName>
    <definedName name="_bdm.52AD24B845644D16B57E295D86F960DF.edm" hidden="1">#REF!</definedName>
    <definedName name="_bdm.6765C444F6F0416E951DD6EDEB4057E4.edm" hidden="1">#REF!</definedName>
    <definedName name="_bdm.91CD4DEC29C049BD929A8110F777B566.edm" hidden="1">#REF!</definedName>
    <definedName name="_bdm.9D576385AB334E0F91FC7FB7CEA21807.edm" hidden="1">#REF!</definedName>
    <definedName name="_bdm.B96FF6D857D94F56A7DA773C04E3CAB0.edm" hidden="1">#REF!</definedName>
    <definedName name="_bdm.F8A8DCEB4DD84118B520FF6070B6FAA2.edm" hidden="1">#REF!</definedName>
    <definedName name="_BDO2" hidden="1">{"'7'!$B$15:$D$32"}</definedName>
    <definedName name="_BG1">#N/A</definedName>
    <definedName name="_BigT">#REF!</definedName>
    <definedName name="_bji23" hidden="1">{#N/A,"PURCHM",FALSE,"Business Analysis";#N/A,"SPADD",FALSE,"Business Analysis"}</definedName>
    <definedName name="_bkd87" hidden="1">{#N/A,"PURCHM",FALSE,"Business Analysis";#N/A,"SPADD",FALSE,"Business Analysis"}</definedName>
    <definedName name="_BLL1">#REF!</definedName>
    <definedName name="_BLL2">#REF!</definedName>
    <definedName name="_BLL3">#REF!</definedName>
    <definedName name="_boh20" hidden="1">#REF!</definedName>
    <definedName name="_boh21" hidden="1">#REF!</definedName>
    <definedName name="_boh22" hidden="1">#REF!</definedName>
    <definedName name="_boi1">#REF!</definedName>
    <definedName name="_boi2">#REF!</definedName>
    <definedName name="_Bom1">#REF!</definedName>
    <definedName name="_BOM10">#REF!</definedName>
    <definedName name="_BOM11">#REF!</definedName>
    <definedName name="_Bom12">#REF!</definedName>
    <definedName name="_BOM13">#REF!</definedName>
    <definedName name="_BOM14">#REF!</definedName>
    <definedName name="_BOM15">#REF!</definedName>
    <definedName name="_BOM16">#REF!</definedName>
    <definedName name="_BOM17">#REF!</definedName>
    <definedName name="_BOM18">#REF!</definedName>
    <definedName name="_BOM19">#REF!</definedName>
    <definedName name="_Bom2">#REF!</definedName>
    <definedName name="_BOM20">#REF!</definedName>
    <definedName name="_BOM21">#REF!</definedName>
    <definedName name="_BOM22">#REF!</definedName>
    <definedName name="_BOM23">#REF!</definedName>
    <definedName name="_BOM24">#REF!</definedName>
    <definedName name="_BOM25">#REF!</definedName>
    <definedName name="_BOM26">#REF!</definedName>
    <definedName name="_Bom3">#REF!</definedName>
    <definedName name="_Bom4">#REF!</definedName>
    <definedName name="_BOM5">#REF!</definedName>
    <definedName name="_BOM6">#REF!</definedName>
    <definedName name="_BOM7">#REF!</definedName>
    <definedName name="_BOM8">#REF!</definedName>
    <definedName name="_BOM9">#REF!</definedName>
    <definedName name="_BOR1">#REF!</definedName>
    <definedName name="_BRM100">#REF!</definedName>
    <definedName name="_BS1">#REF!</definedName>
    <definedName name="_bs95">#REF!</definedName>
    <definedName name="_BSP1">#REF!</definedName>
    <definedName name="_BSP2">#REF!</definedName>
    <definedName name="_BTM150">#REF!</definedName>
    <definedName name="_BTM200">#REF!</definedName>
    <definedName name="_BTM50">#REF!</definedName>
    <definedName name="_c" hidden="1">{"Fiesta Facer Page",#N/A,FALSE,"Q_C_S";"Fiesta Main Page",#N/A,FALSE,"V_L";"Fiesta 95BP Struct",#N/A,FALSE,"StructBP";"Fiesta Post 95BP Struct",#N/A,FALSE,"AdjStructBP"}</definedName>
    <definedName name="_C10">#REF!</definedName>
    <definedName name="_C6">#REF!</definedName>
    <definedName name="_c68000">#REF!</definedName>
    <definedName name="_c75000">#REF!</definedName>
    <definedName name="_C80000">#REF!</definedName>
    <definedName name="_C93">#REF!</definedName>
    <definedName name="_C93CAP">#REF!</definedName>
    <definedName name="_C94">#REF!</definedName>
    <definedName name="_C94CAP">#REF!</definedName>
    <definedName name="_cag05">#REF!</definedName>
    <definedName name="_CAI58_">#REF!</definedName>
    <definedName name="_can430">40.73</definedName>
    <definedName name="_can435">43.3</definedName>
    <definedName name="_cat1">#REF!</definedName>
    <definedName name="_cat2">#REF!</definedName>
    <definedName name="_CBM2">#REF!</definedName>
    <definedName name="_CCH1">#REF!</definedName>
    <definedName name="_CHG1">#REF!</definedName>
    <definedName name="_CHG2">#REF!</definedName>
    <definedName name="_CHG3">#REF!</definedName>
    <definedName name="_CHG4">#REF!</definedName>
    <definedName name="_CIA11">#REF!</definedName>
    <definedName name="_cip0306">#REF!</definedName>
    <definedName name="_Closing_Balance_for_Branch" hidden="1">#REF!</definedName>
    <definedName name="_cls0708">#REF!</definedName>
    <definedName name="_CMS310">#REF!</definedName>
    <definedName name="_col1">#REF!</definedName>
    <definedName name="_col10">#REF!</definedName>
    <definedName name="_col11">#REF!</definedName>
    <definedName name="_col12">#REF!</definedName>
    <definedName name="_col13">#REF!</definedName>
    <definedName name="_col2">#REF!</definedName>
    <definedName name="_col3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l9">#REF!</definedName>
    <definedName name="_com" hidden="1">{"'OBT_6M_30_6'!$S$1:$AE$53"}</definedName>
    <definedName name="_COM11">#REF!</definedName>
    <definedName name="_COM20">#REF!</definedName>
    <definedName name="_CON1">#REF!</definedName>
    <definedName name="_CON11">#REF!</definedName>
    <definedName name="_CON2">#REF!</definedName>
    <definedName name="_CON20">#REF!</definedName>
    <definedName name="_copy">#REF!</definedName>
    <definedName name="_Costbook_Calc_Data">#REF!</definedName>
    <definedName name="_cpd1">#REF!</definedName>
    <definedName name="_cpd2">#REF!</definedName>
    <definedName name="_CRA1">#REF!</definedName>
    <definedName name="_CRA10">#REF!</definedName>
    <definedName name="_CRA11">#REF!</definedName>
    <definedName name="_CRA12">#REF!</definedName>
    <definedName name="_CRA13">#REF!</definedName>
    <definedName name="_CRA14">#REF!</definedName>
    <definedName name="_CRA15">#REF!</definedName>
    <definedName name="_CRA16">#REF!</definedName>
    <definedName name="_CRA160">#REF!</definedName>
    <definedName name="_CRA17">#REF!</definedName>
    <definedName name="_CRA18">#REF!</definedName>
    <definedName name="_CRA19">#REF!</definedName>
    <definedName name="_CRA2">#REF!</definedName>
    <definedName name="_CRA20">#REF!</definedName>
    <definedName name="_CRA21">#REF!</definedName>
    <definedName name="_CRA22">#REF!</definedName>
    <definedName name="_CRA23">#REF!</definedName>
    <definedName name="_CRA24">#REF!</definedName>
    <definedName name="_CRA25">#REF!</definedName>
    <definedName name="_CRA26">#REF!</definedName>
    <definedName name="_CRA27">#REF!</definedName>
    <definedName name="_CRA28">#REF!</definedName>
    <definedName name="_CRA29">#REF!</definedName>
    <definedName name="_CRA3">#REF!</definedName>
    <definedName name="_CRA30">#REF!</definedName>
    <definedName name="_CRA31">#REF!</definedName>
    <definedName name="_CRA32">#REF!</definedName>
    <definedName name="_CRA33">#REF!</definedName>
    <definedName name="_CRA34">#REF!</definedName>
    <definedName name="_CRA35">#REF!</definedName>
    <definedName name="_CRA36">#REF!</definedName>
    <definedName name="_CRA37">#REF!</definedName>
    <definedName name="_CRA38">#REF!</definedName>
    <definedName name="_CRA4">#REF!</definedName>
    <definedName name="_CRA5">#REF!</definedName>
    <definedName name="_CRA6">#REF!</definedName>
    <definedName name="_CRA7">#REF!</definedName>
    <definedName name="_CRA8">#REF!</definedName>
    <definedName name="_CRA9">#REF!</definedName>
    <definedName name="_CRE1">#REF!</definedName>
    <definedName name="_CRE10">#REF!</definedName>
    <definedName name="_CRE11">#REF!</definedName>
    <definedName name="_CRE12">#REF!</definedName>
    <definedName name="_CRE13">#REF!</definedName>
    <definedName name="_CRE14">#REF!</definedName>
    <definedName name="_CRE15">#REF!</definedName>
    <definedName name="_CRE16">#REF!</definedName>
    <definedName name="_CRE17">#REF!</definedName>
    <definedName name="_CRE18">#REF!</definedName>
    <definedName name="_CRE19">#REF!</definedName>
    <definedName name="_CRE2">#REF!</definedName>
    <definedName name="_CRE20">#REF!</definedName>
    <definedName name="_CRE21">#REF!</definedName>
    <definedName name="_CRE22">#REF!</definedName>
    <definedName name="_CRE3">#REF!</definedName>
    <definedName name="_CRE4">#REF!</definedName>
    <definedName name="_CRE5">#REF!</definedName>
    <definedName name="_CRE6">#REF!</definedName>
    <definedName name="_CRE7">#REF!</definedName>
    <definedName name="_CRE8">#REF!</definedName>
    <definedName name="_CRE9">#REF!</definedName>
    <definedName name="_CRI1">#REF!</definedName>
    <definedName name="_CRI10">#REF!</definedName>
    <definedName name="_CRI100">#REF!</definedName>
    <definedName name="_CRI101">#REF!</definedName>
    <definedName name="_CRI102">#REF!</definedName>
    <definedName name="_CRI103">#REF!</definedName>
    <definedName name="_CRI104">#REF!</definedName>
    <definedName name="_CRI105">#REF!</definedName>
    <definedName name="_CRI106">#REF!</definedName>
    <definedName name="_CRI107">#REF!</definedName>
    <definedName name="_CRI108">#REF!</definedName>
    <definedName name="_CRI109">#REF!</definedName>
    <definedName name="_CRI11">#REF!</definedName>
    <definedName name="_CRI110">#REF!</definedName>
    <definedName name="_CRI111">#REF!</definedName>
    <definedName name="_CRI112">#REF!</definedName>
    <definedName name="_CRI113">#REF!</definedName>
    <definedName name="_CRI114">#REF!</definedName>
    <definedName name="_CRI115">#REF!</definedName>
    <definedName name="_CRI116">#REF!</definedName>
    <definedName name="_CRI117">#REF!</definedName>
    <definedName name="_CRI118">#REF!</definedName>
    <definedName name="_CRI119">#REF!</definedName>
    <definedName name="_CRI12">#REF!</definedName>
    <definedName name="_CRI120">#REF!</definedName>
    <definedName name="_CRI121">#REF!</definedName>
    <definedName name="_CRI122">#REF!</definedName>
    <definedName name="_CRI123">#REF!</definedName>
    <definedName name="_CRI124">#REF!</definedName>
    <definedName name="_CRI125">#REF!</definedName>
    <definedName name="_CRI126">#REF!</definedName>
    <definedName name="_CRI127">#REF!</definedName>
    <definedName name="_CRI128">#REF!</definedName>
    <definedName name="_CRI129">#REF!</definedName>
    <definedName name="_CRI13">#REF!</definedName>
    <definedName name="_CRI130">#REF!</definedName>
    <definedName name="_CRI131">#REF!</definedName>
    <definedName name="_CRI132">#REF!</definedName>
    <definedName name="_CRI133">#REF!</definedName>
    <definedName name="_CRI1333">#REF!</definedName>
    <definedName name="_CRI134">#REF!</definedName>
    <definedName name="_CRI135">#REF!</definedName>
    <definedName name="_CRI136">#REF!</definedName>
    <definedName name="_CRI137">#REF!</definedName>
    <definedName name="_CRI138">#REF!</definedName>
    <definedName name="_CRI139">#REF!</definedName>
    <definedName name="_CRI14">#REF!</definedName>
    <definedName name="_CRI140">#REF!</definedName>
    <definedName name="_CRI141">#REF!</definedName>
    <definedName name="_CRI142">#REF!</definedName>
    <definedName name="_CRI143">#REF!</definedName>
    <definedName name="_CRI144">#REF!</definedName>
    <definedName name="_CRI145">#REF!</definedName>
    <definedName name="_CRI146">#REF!</definedName>
    <definedName name="_CRI147">#REF!</definedName>
    <definedName name="_CRI148">#REF!</definedName>
    <definedName name="_CRI149">#REF!</definedName>
    <definedName name="_CRI15">#REF!</definedName>
    <definedName name="_CRI150">#REF!</definedName>
    <definedName name="_CRI151">#REF!</definedName>
    <definedName name="_CRI152">#REF!</definedName>
    <definedName name="_CRI153">#REF!</definedName>
    <definedName name="_CRI154">#REF!</definedName>
    <definedName name="_CRI155">#REF!</definedName>
    <definedName name="_CRI156">#REF!</definedName>
    <definedName name="_CRI157">#REF!</definedName>
    <definedName name="_CRI158">#REF!</definedName>
    <definedName name="_CRI159">#REF!</definedName>
    <definedName name="_CRI16">#REF!</definedName>
    <definedName name="_CRI160">#REF!</definedName>
    <definedName name="_CRI161">#REF!</definedName>
    <definedName name="_CRI162">#REF!</definedName>
    <definedName name="_CRI17">#REF!</definedName>
    <definedName name="_CRI18">#REF!</definedName>
    <definedName name="_CRI19">#REF!</definedName>
    <definedName name="_CRI2">#REF!</definedName>
    <definedName name="_CRI20">#REF!</definedName>
    <definedName name="_CRI21">#REF!</definedName>
    <definedName name="_CRI22">#REF!</definedName>
    <definedName name="_CRI23">#REF!</definedName>
    <definedName name="_CRI24">#REF!</definedName>
    <definedName name="_CRI25">#REF!</definedName>
    <definedName name="_CRI26">#REF!</definedName>
    <definedName name="_CRI27">#REF!</definedName>
    <definedName name="_CRI28">#REF!</definedName>
    <definedName name="_CRI29">#REF!</definedName>
    <definedName name="_CRI3">#REF!</definedName>
    <definedName name="_CRI30">#REF!</definedName>
    <definedName name="_CRI31">#REF!</definedName>
    <definedName name="_CRI32">#REF!</definedName>
    <definedName name="_CRI33">#REF!</definedName>
    <definedName name="_CRI34">#REF!</definedName>
    <definedName name="_CRI35">#REF!</definedName>
    <definedName name="_CRI36">#REF!</definedName>
    <definedName name="_CRI37">#REF!</definedName>
    <definedName name="_CRI38">#REF!</definedName>
    <definedName name="_CRI39">#REF!</definedName>
    <definedName name="_CRI4">#REF!</definedName>
    <definedName name="_CRI40">#REF!</definedName>
    <definedName name="_CRI41">#REF!</definedName>
    <definedName name="_CRI42">#REF!</definedName>
    <definedName name="_CRI43">#REF!</definedName>
    <definedName name="_CRI44">#REF!</definedName>
    <definedName name="_CRI45">#REF!</definedName>
    <definedName name="_CRI46">#REF!</definedName>
    <definedName name="_CRI47">#REF!</definedName>
    <definedName name="_CRI48">#REF!</definedName>
    <definedName name="_CRI49">#REF!</definedName>
    <definedName name="_CRI5">#REF!</definedName>
    <definedName name="_CRI50">#REF!</definedName>
    <definedName name="_CRI51">#REF!</definedName>
    <definedName name="_CRI52">#REF!</definedName>
    <definedName name="_CRI53">#REF!</definedName>
    <definedName name="_CRI54">#REF!</definedName>
    <definedName name="_CRI55">#REF!</definedName>
    <definedName name="_CRI56">#REF!</definedName>
    <definedName name="_CRI57">#REF!</definedName>
    <definedName name="_CRI58">#REF!</definedName>
    <definedName name="_CRI59">#REF!</definedName>
    <definedName name="_CRI6">#REF!</definedName>
    <definedName name="_CRI60">#REF!</definedName>
    <definedName name="_CRI61">#REF!</definedName>
    <definedName name="_CRI62">#REF!</definedName>
    <definedName name="_CRI63">#REF!</definedName>
    <definedName name="_CRI64">#REF!</definedName>
    <definedName name="_CRI65">#REF!</definedName>
    <definedName name="_CRI66">#REF!</definedName>
    <definedName name="_CRI67">#REF!</definedName>
    <definedName name="_CRI68">#REF!</definedName>
    <definedName name="_CRI69">#REF!</definedName>
    <definedName name="_CRI7">#REF!</definedName>
    <definedName name="_CRI70">#REF!</definedName>
    <definedName name="_CRI71">#REF!</definedName>
    <definedName name="_CRI72">#REF!</definedName>
    <definedName name="_CRI73">#REF!</definedName>
    <definedName name="_CRI74">#REF!</definedName>
    <definedName name="_CRI75">#REF!</definedName>
    <definedName name="_CRI76">#REF!</definedName>
    <definedName name="_CRI77">#REF!</definedName>
    <definedName name="_CRI78">#REF!</definedName>
    <definedName name="_CRI79">#REF!</definedName>
    <definedName name="_CRI8">#REF!</definedName>
    <definedName name="_CRI80">#REF!</definedName>
    <definedName name="_CRI81">#REF!</definedName>
    <definedName name="_CRI82">#REF!</definedName>
    <definedName name="_CRI83">#REF!</definedName>
    <definedName name="_CRI84">#REF!</definedName>
    <definedName name="_CRI85">#REF!</definedName>
    <definedName name="_CRI86">#REF!</definedName>
    <definedName name="_CRI87">#REF!</definedName>
    <definedName name="_CRI88">#REF!</definedName>
    <definedName name="_CRI89">#REF!</definedName>
    <definedName name="_CRI9">#REF!</definedName>
    <definedName name="_CRI90">#REF!</definedName>
    <definedName name="_CRI91">#REF!</definedName>
    <definedName name="_CRI92">#REF!</definedName>
    <definedName name="_CRI93">#REF!</definedName>
    <definedName name="_CRI94">#REF!</definedName>
    <definedName name="_CRI95">#REF!</definedName>
    <definedName name="_CRI96">#REF!</definedName>
    <definedName name="_CRI97">#REF!</definedName>
    <definedName name="_CRI98">#REF!</definedName>
    <definedName name="_CRI99">#REF!</definedName>
    <definedName name="_CRR160">#REF!</definedName>
    <definedName name="_CRT1">#REF!</definedName>
    <definedName name="_CRT10">#REF!</definedName>
    <definedName name="_CRT100">#REF!</definedName>
    <definedName name="_CRT101">#REF!</definedName>
    <definedName name="_CRT102">#REF!</definedName>
    <definedName name="_CRT10200">#REF!</definedName>
    <definedName name="_CRT103">#REF!</definedName>
    <definedName name="_CRT104">#REF!</definedName>
    <definedName name="_CRT10400">#REF!</definedName>
    <definedName name="_CRT105">#REF!</definedName>
    <definedName name="_CRT106">#REF!</definedName>
    <definedName name="_CRT107">#REF!</definedName>
    <definedName name="_CRT108">#REF!</definedName>
    <definedName name="_CRT109">#REF!</definedName>
    <definedName name="_CRT11">#REF!</definedName>
    <definedName name="_CRT110">#REF!</definedName>
    <definedName name="_CRT111">#REF!</definedName>
    <definedName name="_CRT112">#REF!</definedName>
    <definedName name="_CRT113">#REF!</definedName>
    <definedName name="_CRT114">#REF!</definedName>
    <definedName name="_CRT115">#REF!</definedName>
    <definedName name="_CRT11500">#REF!</definedName>
    <definedName name="_CRT116">#REF!</definedName>
    <definedName name="_CRT11600">#REF!</definedName>
    <definedName name="_CRT117">#REF!</definedName>
    <definedName name="_CRT118">#REF!</definedName>
    <definedName name="_CRT119">#REF!</definedName>
    <definedName name="_CRT12">#REF!</definedName>
    <definedName name="_CRT120">#REF!</definedName>
    <definedName name="_CRT121">#REF!</definedName>
    <definedName name="_CRT122">#REF!</definedName>
    <definedName name="_CRT123">#REF!</definedName>
    <definedName name="_CRT124">#REF!</definedName>
    <definedName name="_CRT125">#REF!</definedName>
    <definedName name="_CRT126">#REF!</definedName>
    <definedName name="_CRT127">#REF!</definedName>
    <definedName name="_CRT128">#REF!</definedName>
    <definedName name="_CRT129">#REF!</definedName>
    <definedName name="_CRT13">#REF!</definedName>
    <definedName name="_CRT130">#REF!</definedName>
    <definedName name="_CRT131">#REF!</definedName>
    <definedName name="_CRT132">#REF!</definedName>
    <definedName name="_CRT133">#REF!</definedName>
    <definedName name="_CRT134">#REF!</definedName>
    <definedName name="_CRT135">#REF!</definedName>
    <definedName name="_CRT136">#REF!</definedName>
    <definedName name="_CRT137">#REF!</definedName>
    <definedName name="_CRT138">#REF!</definedName>
    <definedName name="_CRT139">#REF!</definedName>
    <definedName name="_CRT14">#REF!</definedName>
    <definedName name="_CRT140">#REF!</definedName>
    <definedName name="_CRT141">#REF!</definedName>
    <definedName name="_CRT142">#REF!</definedName>
    <definedName name="_CRT143">#REF!</definedName>
    <definedName name="_CRT144">#REF!</definedName>
    <definedName name="_CRT145">#REF!</definedName>
    <definedName name="_CRT146">#REF!</definedName>
    <definedName name="_CRT147">#REF!</definedName>
    <definedName name="_CRT148">#REF!</definedName>
    <definedName name="_CRT149">#REF!</definedName>
    <definedName name="_CRT15">#REF!</definedName>
    <definedName name="_CRT150">#REF!</definedName>
    <definedName name="_CRT151">#REF!</definedName>
    <definedName name="_CRT152">#REF!</definedName>
    <definedName name="_CRT153">#REF!</definedName>
    <definedName name="_CRT154">#REF!</definedName>
    <definedName name="_CRT155">#REF!</definedName>
    <definedName name="_CRT156">#REF!</definedName>
    <definedName name="_CRT157">#REF!</definedName>
    <definedName name="_CRT158">#REF!</definedName>
    <definedName name="_CRT159">#REF!</definedName>
    <definedName name="_CRT16">#REF!</definedName>
    <definedName name="_CRT160">#REF!</definedName>
    <definedName name="_CRT17">#REF!</definedName>
    <definedName name="_CRT18">#REF!</definedName>
    <definedName name="_CRT19">#REF!</definedName>
    <definedName name="_CRT2">#REF!</definedName>
    <definedName name="_CRT20">#REF!</definedName>
    <definedName name="_CRT21">#REF!</definedName>
    <definedName name="_CRT22">#REF!</definedName>
    <definedName name="_CRT23">#REF!</definedName>
    <definedName name="_CRT24">#REF!</definedName>
    <definedName name="_CRT25">#REF!</definedName>
    <definedName name="_CRT26">#REF!</definedName>
    <definedName name="_CRT27">#REF!</definedName>
    <definedName name="_CRT28">#REF!</definedName>
    <definedName name="_CRT29">#REF!</definedName>
    <definedName name="_CRT3">#REF!</definedName>
    <definedName name="_CRT30">#REF!</definedName>
    <definedName name="_CRT31">#REF!</definedName>
    <definedName name="_CRT32">#REF!</definedName>
    <definedName name="_CRT33">#REF!</definedName>
    <definedName name="_CRT34">#REF!</definedName>
    <definedName name="_CRT35">#REF!</definedName>
    <definedName name="_CRT36">#REF!</definedName>
    <definedName name="_CRT37">#REF!</definedName>
    <definedName name="_CRT38">#REF!</definedName>
    <definedName name="_CRT39">#REF!</definedName>
    <definedName name="_CRT4">#REF!</definedName>
    <definedName name="_CRT40">#REF!</definedName>
    <definedName name="_CRT41">#REF!</definedName>
    <definedName name="_CRT42">#REF!</definedName>
    <definedName name="_CRT43">#REF!</definedName>
    <definedName name="_CRT44">#REF!</definedName>
    <definedName name="_CRT45">#REF!</definedName>
    <definedName name="_CRT46">#REF!</definedName>
    <definedName name="_CRT47">#REF!</definedName>
    <definedName name="_CRT48">#REF!</definedName>
    <definedName name="_CRT49">#REF!</definedName>
    <definedName name="_CRT5">#REF!</definedName>
    <definedName name="_CRT50">#REF!</definedName>
    <definedName name="_CRT51">#REF!</definedName>
    <definedName name="_CRT52">#REF!</definedName>
    <definedName name="_CRT53">#REF!</definedName>
    <definedName name="_CRT54">#REF!</definedName>
    <definedName name="_CRT55">#REF!</definedName>
    <definedName name="_CRT56">#REF!</definedName>
    <definedName name="_CRT57">#REF!</definedName>
    <definedName name="_CRT58">#REF!</definedName>
    <definedName name="_CRT59">#REF!</definedName>
    <definedName name="_CRT6">#REF!</definedName>
    <definedName name="_CRT60">#REF!</definedName>
    <definedName name="_CRT61">#REF!</definedName>
    <definedName name="_CRT62">#REF!</definedName>
    <definedName name="_CRT63">#REF!</definedName>
    <definedName name="_CRT64">#REF!</definedName>
    <definedName name="_CRT65">#REF!</definedName>
    <definedName name="_CRT66">#REF!</definedName>
    <definedName name="_CRT67">#REF!</definedName>
    <definedName name="_CRT68">#REF!</definedName>
    <definedName name="_CRT69">#REF!</definedName>
    <definedName name="_CRT7">#REF!</definedName>
    <definedName name="_CRT70">#REF!</definedName>
    <definedName name="_CRT71">#REF!</definedName>
    <definedName name="_CRT72">#REF!</definedName>
    <definedName name="_CRT73">#REF!</definedName>
    <definedName name="_CRT74">#REF!</definedName>
    <definedName name="_CRT75">#REF!</definedName>
    <definedName name="_CRT76">#REF!</definedName>
    <definedName name="_CRT77">#REF!</definedName>
    <definedName name="_CRT78">#REF!</definedName>
    <definedName name="_CRT79">#REF!</definedName>
    <definedName name="_CRT8">#REF!</definedName>
    <definedName name="_CRT80">#REF!</definedName>
    <definedName name="_CRT81">#REF!</definedName>
    <definedName name="_CRT82">#REF!</definedName>
    <definedName name="_CRT83">#REF!</definedName>
    <definedName name="_CRT84">#REF!</definedName>
    <definedName name="_CRT85">#REF!</definedName>
    <definedName name="_CRT86">#REF!</definedName>
    <definedName name="_CRT87">#REF!</definedName>
    <definedName name="_CRT88">#REF!</definedName>
    <definedName name="_CRT89">#REF!</definedName>
    <definedName name="_CRT9">#REF!</definedName>
    <definedName name="_CRT90">#REF!</definedName>
    <definedName name="_CRT91">#REF!</definedName>
    <definedName name="_CRT92">#REF!</definedName>
    <definedName name="_CRT93">#REF!</definedName>
    <definedName name="_CRT94">#REF!</definedName>
    <definedName name="_CRT95">#REF!</definedName>
    <definedName name="_CRT96">#REF!</definedName>
    <definedName name="_CRT97">#REF!</definedName>
    <definedName name="_CRT9700">#REF!</definedName>
    <definedName name="_CRT98">#REF!</definedName>
    <definedName name="_CRT99">#REF!</definedName>
    <definedName name="_CTG17">#REF!</definedName>
    <definedName name="_CTG6">#REF!</definedName>
    <definedName name="_D123" hidden="1">{#N/A,#N/A,TRUE,"Staffnos &amp; cost"}</definedName>
    <definedName name="_DAT1">#REF!</definedName>
    <definedName name="_DAT10">#REF!</definedName>
    <definedName name="_DAT100">#REF!</definedName>
    <definedName name="_DAT101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80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">#REF!</definedName>
    <definedName name="_DAT90">#REF!</definedName>
    <definedName name="_DAT91">#REF!</definedName>
    <definedName name="_DAT92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dd1" hidden="1">{#N/A,#N/A,FALSE,"FFM"}</definedName>
    <definedName name="_dd2" hidden="1">{#N/A,#N/A,FALSE,"FFM"}</definedName>
    <definedName name="_DEC31">#REF!</definedName>
    <definedName name="_decpdc">#REF!</definedName>
    <definedName name="_del1">#REF!</definedName>
    <definedName name="_del10">#REF!</definedName>
    <definedName name="_del14">#REF!</definedName>
    <definedName name="_del2">#REF!</definedName>
    <definedName name="_del3">#REF!</definedName>
    <definedName name="_del4">#REF!</definedName>
    <definedName name="_del5">#REF!</definedName>
    <definedName name="_del6">#REF!</definedName>
    <definedName name="_del7">#REF!</definedName>
    <definedName name="_del8">#REF!</definedName>
    <definedName name="_del9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EP1">#REF!</definedName>
    <definedName name="_DEP2">#REF!</definedName>
    <definedName name="_DET1">#REF!</definedName>
    <definedName name="_DET10">#REF!</definedName>
    <definedName name="_DET11">#REF!</definedName>
    <definedName name="_DET12">#REF!</definedName>
    <definedName name="_DET14">#REF!</definedName>
    <definedName name="_DET15">#REF!</definedName>
    <definedName name="_DET16">#REF!</definedName>
    <definedName name="_DET17">#REF!</definedName>
    <definedName name="_DET18">#REF!</definedName>
    <definedName name="_DET19">#REF!</definedName>
    <definedName name="_DET2">#REF!</definedName>
    <definedName name="_DET20">#REF!</definedName>
    <definedName name="_DET3">#REF!</definedName>
    <definedName name="_DET4">#REF!</definedName>
    <definedName name="_DET49">#REF!</definedName>
    <definedName name="_DET5">#REF!</definedName>
    <definedName name="_DET50">#REF!</definedName>
    <definedName name="_DET6">#REF!</definedName>
    <definedName name="_DET7">#REF!</definedName>
    <definedName name="_DET8">#REF!</definedName>
    <definedName name="_DET9">#REF!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1">#REF!</definedName>
    <definedName name="_DIS10">#REF!</definedName>
    <definedName name="_DIS11">#REF!</definedName>
    <definedName name="_DIS12">#REF!</definedName>
    <definedName name="_DIS2">#REF!</definedName>
    <definedName name="_DIS3">#REF!</definedName>
    <definedName name="_DIS4">#REF!</definedName>
    <definedName name="_DIS5">#REF!</definedName>
    <definedName name="_DIS6">#REF!</definedName>
    <definedName name="_DIS7">#REF!</definedName>
    <definedName name="_DIS8">#REF!</definedName>
    <definedName name="_DIS9">#REF!</definedName>
    <definedName name="_Dist_Bin" hidden="1">#REF!</definedName>
    <definedName name="_Dist_Bin_1">"#REF!"</definedName>
    <definedName name="_Dist_Bin_2">"#REF!"</definedName>
    <definedName name="_Dist_Bin_3">"#REF!"</definedName>
    <definedName name="_Dist_Bin_4">"#REF!"</definedName>
    <definedName name="_Dist_Values" hidden="1">#REF!</definedName>
    <definedName name="_Dist_Values_1">"#REF!"</definedName>
    <definedName name="_Dist_Values_2">"#REF!"</definedName>
    <definedName name="_Dist_Values_3">"#REF!"</definedName>
    <definedName name="_Dist_Values_4">"#REF!"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1" hidden="1">{#N/A,#N/A,FALSE,"COVER.XLS";#N/A,#N/A,FALSE,"RACT1.XLS";#N/A,#N/A,FALSE,"RACT2.XLS";#N/A,#N/A,FALSE,"ECCMP";#N/A,#N/A,FALSE,"WELDER.XLS"}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LL11">#REF!</definedName>
    <definedName name="_DLL20">#REF!</definedName>
    <definedName name="_DOL11">#REF!</definedName>
    <definedName name="_DOL20">#REF!</definedName>
    <definedName name="_DUE1">#REF!</definedName>
    <definedName name="_dwa1" hidden="1">{#N/A,"PURCHM",FALSE,"Business Analysis";#N/A,"SPADD",FALSE,"Business Analysis"}</definedName>
    <definedName name="_e1" hidden="1">{#N/A,#N/A,FALSE,"QC REVIEW"}</definedName>
    <definedName name="_E99999">#REF!</definedName>
    <definedName name="_EC3" hidden="1">{#N/A,#N/A,FALSE,"QC REVIEW"}</definedName>
    <definedName name="_EPS1">#REF!</definedName>
    <definedName name="_ESC1">#REF!</definedName>
    <definedName name="_eu93" hidden="1">{"Comp_of_Price_Effect",#N/A,FALSE,"QTRDPVAR"}</definedName>
    <definedName name="_eva97">#REF!</definedName>
    <definedName name="_ewr35" hidden="1">#REF!</definedName>
    <definedName name="_EXC1">#REF!</definedName>
    <definedName name="_EXC2">#REF!</definedName>
    <definedName name="_Exp1">#REF!</definedName>
    <definedName name="_EXP9192">#N/A</definedName>
    <definedName name="_EXS8687">#N/A</definedName>
    <definedName name="_EXS8990">#N/A</definedName>
    <definedName name="_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f3" hidden="1">{#N/A,#N/A,FALSE,"Aging Summary";#N/A,#N/A,FALSE,"Ratio Analysis";#N/A,#N/A,FALSE,"Test 120 Day Accts";#N/A,#N/A,FALSE,"Tickmarks"}</definedName>
    <definedName name="_F366666">#REF!</definedName>
    <definedName name="_f4" hidden="1">{#N/A,#N/A,FALSE,"Aging Summary";#N/A,#N/A,FALSE,"Ratio Analysis";#N/A,#N/A,FALSE,"Test 120 Day Accts";#N/A,#N/A,FALSE,"Tickmarks"}</definedName>
    <definedName name="_fa0910">#REF!</definedName>
    <definedName name="_fb3" hidden="1">{#N/A,#N/A,FALSE,"Full";#N/A,#N/A,FALSE,"Half";#N/A,#N/A,FALSE,"Op Expenses";#N/A,#N/A,FALSE,"Cap Charge";#N/A,#N/A,FALSE,"Cost C";#N/A,#N/A,FALSE,"PP&amp;E";#N/A,#N/A,FALSE,"R&amp;D"}</definedName>
    <definedName name="_fcf97">#REF!</definedName>
    <definedName name="_fco2" hidden="1">{#N/A,#N/A,FALSE,"gc (2)"}</definedName>
    <definedName name="_FFR2">#REF!</definedName>
    <definedName name="_fil" hidden="1">#REF!</definedName>
    <definedName name="_Fill" hidden="1">#REF!</definedName>
    <definedName name="_Fill_1">"#REF!"</definedName>
    <definedName name="_Fill_2">"#REF!"</definedName>
    <definedName name="_Fill_3">"#REF!"</definedName>
    <definedName name="_Fill_4">"#REF!"</definedName>
    <definedName name="_Fill_5">"#REF!"</definedName>
    <definedName name="_xlnm._FilterDatabase" localSheetId="0" hidden="1">'Note 6'!#REF!</definedName>
    <definedName name="_xlnm._FilterDatabase" hidden="1">#REF!</definedName>
    <definedName name="_FilterDatabase112wsd" hidden="1">#REF!</definedName>
    <definedName name="_FOR1">#REF!</definedName>
    <definedName name="_FOR10">#REF!</definedName>
    <definedName name="_FOR11">#REF!</definedName>
    <definedName name="_FOR2">#REF!</definedName>
    <definedName name="_FOR3">#REF!</definedName>
    <definedName name="_FOR4">#REF!</definedName>
    <definedName name="_FOR5">#REF!</definedName>
    <definedName name="_FOR6">#REF!</definedName>
    <definedName name="_FOR7">#REF!</definedName>
    <definedName name="_FOR8">#REF!</definedName>
    <definedName name="_FOR9">#REF!</definedName>
    <definedName name="_FOR91">#REF!</definedName>
    <definedName name="_fre2">#REF!</definedName>
    <definedName name="_FRR1">#REF!</definedName>
    <definedName name="_FRR2">#REF!</definedName>
    <definedName name="_FRR3">#REF!</definedName>
    <definedName name="_FRR4">#REF!</definedName>
    <definedName name="_FRR5">#REF!</definedName>
    <definedName name="_FS_R">#REF!</definedName>
    <definedName name="_FST1">#REF!</definedName>
    <definedName name="_FSTEMP_">#REF!</definedName>
    <definedName name="_ftn1">#REF!</definedName>
    <definedName name="_ftn10">#REF!</definedName>
    <definedName name="_ftn11">#REF!</definedName>
    <definedName name="_ftn12">#REF!</definedName>
    <definedName name="_ftn2">#REF!</definedName>
    <definedName name="_ftn3">#REF!</definedName>
    <definedName name="_ftn4">#REF!</definedName>
    <definedName name="_ftn5">#REF!</definedName>
    <definedName name="_ftn6">#REF!</definedName>
    <definedName name="_ftn7">#REF!</definedName>
    <definedName name="_ftn8">#REF!</definedName>
    <definedName name="_ftn9">#REF!</definedName>
    <definedName name="_ftnref10">#REF!</definedName>
    <definedName name="_ftnref11">#REF!</definedName>
    <definedName name="_ftnref4">#REF!</definedName>
    <definedName name="_ftnref6">#REF!</definedName>
    <definedName name="_fy97" hidden="1">{#N/A,#N/A,FALSE,"FY97";#N/A,#N/A,FALSE,"FY98";#N/A,#N/A,FALSE,"FY99";#N/A,#N/A,FALSE,"FY00";#N/A,#N/A,FALSE,"FY01"}</definedName>
    <definedName name="_g1" hidden="1">{"'August 2000'!$A$1:$J$101"}</definedName>
    <definedName name="_G20">#REF!</definedName>
    <definedName name="_GIR89">#REF!</definedName>
    <definedName name="_GIR90">#REF!</definedName>
    <definedName name="_GoA1">#N/A</definedName>
    <definedName name="_goa2">#N/A</definedName>
    <definedName name="_GR1" hidden="1">{"'Sch B'!$B$15:$L$17"}</definedName>
    <definedName name="_GRP1">OFFSET(#REF!,0,0,COUNTA(#REF!),1)</definedName>
    <definedName name="_Grp12">#REF!</definedName>
    <definedName name="_Grp13">#REF!</definedName>
    <definedName name="_Grp14">#REF!</definedName>
    <definedName name="_Grp15">#REF!</definedName>
    <definedName name="_Grp16" hidden="1">{#N/A,#N/A,FALSE,"PMTABB";#N/A,#N/A,FALSE,"PMTABB"}</definedName>
    <definedName name="_Grp2">#REF!</definedName>
    <definedName name="_GSRATES_1" hidden="1">"CT30000120021231        "</definedName>
    <definedName name="_GSRATES_10" hidden="1">"CF3000012002123120020331"</definedName>
    <definedName name="_GSRATES_2" hidden="1">"CT30000120031231        "</definedName>
    <definedName name="_GSRATES_3" hidden="1">"CT30000120040331        "</definedName>
    <definedName name="_GSRATES_4" hidden="1">"CF3000012004033120030331"</definedName>
    <definedName name="_GSRATES_5" hidden="1">"CF3000012002093020020331"</definedName>
    <definedName name="_GSRATES_6" hidden="1">"CF3000012003123120030331"</definedName>
    <definedName name="_GSRATES_7" hidden="1">"CT300001Latest          "</definedName>
    <definedName name="_GSRATES_8" hidden="1">"CT300001Latest          "</definedName>
    <definedName name="_GSRATES_9" hidden="1">"CF3000012002123120020331"</definedName>
    <definedName name="_GSRATES_COUNT" hidden="1">10</definedName>
    <definedName name="_hhk9798">#REF!</definedName>
    <definedName name="_HIGHLIGHTS1">#REF!</definedName>
    <definedName name="_hom2">#REF!</definedName>
    <definedName name="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ILT1">#REF!</definedName>
    <definedName name="_iNC1">#REF!</definedName>
    <definedName name="_inv1">#REF!</definedName>
    <definedName name="_inv2">#REF!</definedName>
    <definedName name="_inv6">#REF!</definedName>
    <definedName name="_IRR1">#REF!</definedName>
    <definedName name="_IRR2">#REF!</definedName>
    <definedName name="_IRR3">#REF!</definedName>
    <definedName name="_IRR4">#REF!</definedName>
    <definedName name="_IRR5">#REF!</definedName>
    <definedName name="_IRR6">#REF!</definedName>
    <definedName name="_ITDep">#REF!</definedName>
    <definedName name="_iv65537">#REF!</definedName>
    <definedName name="_iv65540">#REF!</definedName>
    <definedName name="_JAI1">#REF!</definedName>
    <definedName name="_JAI2">#REF!</definedName>
    <definedName name="_JAI3">#REF!</definedName>
    <definedName name="_JAN1">#REF!</definedName>
    <definedName name="_ji22">#REF!</definedName>
    <definedName name="_jki1">#REF!</definedName>
    <definedName name="_jkj" hidden="1">#REF!</definedName>
    <definedName name="_Jun01">#REF!</definedName>
    <definedName name="_JUN30">#REF!</definedName>
    <definedName name="_k13" hidden="1">{0,0,FALSE,0}</definedName>
    <definedName name="_k8" hidden="1">{#N/A,#N/A,FALSE,"COVER1.XLS ";#N/A,#N/A,FALSE,"RACT1.XLS";#N/A,#N/A,FALSE,"RACT2.XLS";#N/A,#N/A,FALSE,"ECCMP";#N/A,#N/A,FALSE,"WELDER.XLS"}</definedName>
    <definedName name="_key">#REF!</definedName>
    <definedName name="_Key1" hidden="1">#REF!</definedName>
    <definedName name="_Key1_1">#N/A</definedName>
    <definedName name="_Key1_2">#N/A</definedName>
    <definedName name="_Key1_3">#N/A</definedName>
    <definedName name="_Key1_4">#N/A</definedName>
    <definedName name="_Key1Sandhar" hidden="1">#REF!</definedName>
    <definedName name="_Key2" hidden="1">#REF!</definedName>
    <definedName name="_kEY3" hidden="1">#REF!</definedName>
    <definedName name="_KeySandhar" hidden="1">#REF!</definedName>
    <definedName name="_KJ1">#REF!</definedName>
    <definedName name="_KJ2">#REF!</definedName>
    <definedName name="_KJ3">#REF!</definedName>
    <definedName name="_KJ4">#REF!</definedName>
    <definedName name="_KJ5">#REF!</definedName>
    <definedName name="_ko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i1" hidden="1">{"'OBT_6M_30_6'!$S$1:$AE$53"}</definedName>
    <definedName name="_ksm14">#REF!</definedName>
    <definedName name="_ksm6">#REF!</definedName>
    <definedName name="_kv2" hidden="1">{#N/A,#N/A,FALSE,"COVER1.XLS ";#N/A,#N/A,FALSE,"RACT1.XLS";#N/A,#N/A,FALSE,"RACT2.XLS";#N/A,#N/A,FALSE,"ECCMP";#N/A,#N/A,FALSE,"WELDER.XLS"}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7" hidden="1">{#N/A,#N/A,FALSE,"COVER1.XLS 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KVS9" hidden="1">{#N/A,#N/A,FALSE,"COVER1.XLS ";#N/A,#N/A,FALSE,"RACT1.XLS";#N/A,#N/A,FALSE,"RACT2.XLS";#N/A,#N/A,FALSE,"ECCMP";#N/A,#N/A,FALSE,"WELDER.XLS"}</definedName>
    <definedName name="_L" hidden="1">{"'OBT_6M_30_6'!$S$1:$AE$53"}</definedName>
    <definedName name="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AM1">#REF!</definedName>
    <definedName name="_LAM10">#REF!</definedName>
    <definedName name="_LAM11">#REF!</definedName>
    <definedName name="_LAM12">#REF!</definedName>
    <definedName name="_LAM2">#REF!</definedName>
    <definedName name="_LAM3">#REF!</definedName>
    <definedName name="_LAM4">#REF!</definedName>
    <definedName name="_LAM5">#REF!</definedName>
    <definedName name="_LAM6">#REF!</definedName>
    <definedName name="_LAM7">#REF!</definedName>
    <definedName name="_LAM8">#REF!</definedName>
    <definedName name="_LAM9">#REF!</definedName>
    <definedName name="_lap1">#REF!</definedName>
    <definedName name="_lap2">#REF!</definedName>
    <definedName name="_LD2">#REF!</definedName>
    <definedName name="_LinkPic_0AB4900B96B5424DAA4F369CD1DE9262">#REF!</definedName>
    <definedName name="_LinkPic_0C9F36DFA1784BDB8562E84AB25BDF12">#REF!</definedName>
    <definedName name="_LinkPic_3457D9D993964897822EA3F272B9824A">#REF!</definedName>
    <definedName name="_LinkPic_4810C09686A849CEAA5B67B65C0BE644">#REF!</definedName>
    <definedName name="_LinkPic_59F7986D1D3E46528FBF7B6D47E2060D">#REF!</definedName>
    <definedName name="_LinkPic_7DFD0FAC67C34239975E5719EFE75C06">#REF!</definedName>
    <definedName name="_LinkPic_8A08916AC84C4809938757894A21D2E0">#REF!</definedName>
    <definedName name="_LinkPic_A6FAC271A12A453AB42C94997B9E5AEF">#REF!</definedName>
    <definedName name="_LinkPic_B8534B597F0C4BA5A6ABACB17A492825">#REF!</definedName>
    <definedName name="_LinkPic_FEED3AC6F56E4CDBBFEB68EBF615EC54">#REF!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">#REF!</definedName>
    <definedName name="_M__RIGHT___DOW">#REF!</definedName>
    <definedName name="_M12">#N/A</definedName>
    <definedName name="_M120161">#REF!</definedName>
    <definedName name="_ma67">#REF!</definedName>
    <definedName name="_ma67_17">#REF!</definedName>
    <definedName name="_ma67_4">#REF!</definedName>
    <definedName name="_ma71">#REF!</definedName>
    <definedName name="_ma71_17">#REF!</definedName>
    <definedName name="_ma71_4">#REF!</definedName>
    <definedName name="_ma74">#REF!</definedName>
    <definedName name="_ma74_17">#REF!</definedName>
    <definedName name="_ma74_4">#REF!</definedName>
    <definedName name="_Mac5000">#REF!</definedName>
    <definedName name="_MAM1">#REF!</definedName>
    <definedName name="_MAR31">#REF!</definedName>
    <definedName name="_MAR9091">#REF!</definedName>
    <definedName name="_MAR99">#REF!</definedName>
    <definedName name="_MatInverse_In" hidden="1">#REF!</definedName>
    <definedName name="_MatInverse_Out" hidden="1">#REF!</definedName>
    <definedName name="_mbc2" hidden="1">{#N/A,#N/A,FALSE,"QC REVIEW"}</definedName>
    <definedName name="_MC1" hidden="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md1">#REF!</definedName>
    <definedName name="_md10">#REF!</definedName>
    <definedName name="_md11">#REF!</definedName>
    <definedName name="_md12">#REF!</definedName>
    <definedName name="_md13">#REF!</definedName>
    <definedName name="_md14">#REF!</definedName>
    <definedName name="_md15">#REF!</definedName>
    <definedName name="_md2">#REF!</definedName>
    <definedName name="_md3">#REF!</definedName>
    <definedName name="_md4">#REF!</definedName>
    <definedName name="_MD5">#REF!</definedName>
    <definedName name="_md6">#REF!</definedName>
    <definedName name="_md7">#REF!</definedName>
    <definedName name="_md8">#REF!</definedName>
    <definedName name="_md9">#REF!</definedName>
    <definedName name="_Mei97">#REF!</definedName>
    <definedName name="_mhk9798">#REF!</definedName>
    <definedName name="_mhk9899">#REF!</definedName>
    <definedName name="_MKT1">#REF!</definedName>
    <definedName name="_MKT10">#REF!</definedName>
    <definedName name="_MKT11">#REF!</definedName>
    <definedName name="_MKT2">#REF!</definedName>
    <definedName name="_MKT3">#REF!</definedName>
    <definedName name="_MKT4">#REF!</definedName>
    <definedName name="_MKT5">#REF!</definedName>
    <definedName name="_MKT6">#REF!</definedName>
    <definedName name="_MKT7">#REF!</definedName>
    <definedName name="_MKT8">#REF!</definedName>
    <definedName name="_MKT9">#REF!</definedName>
    <definedName name="_mmm10">#REF!</definedName>
    <definedName name="_mmmm">#REF!</definedName>
    <definedName name="_mno9" hidden="1">{"detail",#N/A,FALSE,"mfg";"summary",#N/A,FALSE,"mfg"}</definedName>
    <definedName name="_mor1" hidden="1">#REF!</definedName>
    <definedName name="_MOS9495">#REF!</definedName>
    <definedName name="_MOS9596">#REF!</definedName>
    <definedName name="_MOS9697">#REF!</definedName>
    <definedName name="_mrf1">#REF!</definedName>
    <definedName name="_MSC_COST">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mva97">#REF!</definedName>
    <definedName name="_N10">#REF!</definedName>
    <definedName name="_nam305" hidden="1">{"detail",#N/A,FALSE,"mfg";"summary",#N/A,FALSE,"mfg"}</definedName>
    <definedName name="_NAV1">#REF!</definedName>
    <definedName name="_nc151">#REF!</definedName>
    <definedName name="_NET1">#REF!</definedName>
    <definedName name="_NET2">#REF!</definedName>
    <definedName name="_NET4">#REF!</definedName>
    <definedName name="_new" hidden="1">#REF!</definedName>
    <definedName name="_new1">#REF!</definedName>
    <definedName name="_new4">#REF!</definedName>
    <definedName name="_NN10">#REF!</definedName>
    <definedName name="_NN9">#REF!</definedName>
    <definedName name="_NNcc">#REF!</definedName>
    <definedName name="_NO1">#REF!</definedName>
    <definedName name="_NO2">#REF!</definedName>
    <definedName name="_NO3">#REF!</definedName>
    <definedName name="_NO4">#REF!</definedName>
    <definedName name="_NO5">#REF!</definedName>
    <definedName name="_NO6">#REF!</definedName>
    <definedName name="_NO7">#REF!</definedName>
    <definedName name="_NOM1">#REF!</definedName>
    <definedName name="_NOM2">#REF!</definedName>
    <definedName name="_NOM3">#REF!</definedName>
    <definedName name="_ns1" hidden="1">{#N/A,#N/A,FALSE,"COVER1.XLS ";#N/A,#N/A,FALSE,"RACT1.XLS";#N/A,#N/A,FALSE,"RACT2.XLS";#N/A,#N/A,FALSE,"ECCMP";#N/A,#N/A,FALSE,"WELDER.XLS"}</definedName>
    <definedName name="_NSO2" hidden="1">{"'Sheet1'!$L$16"}</definedName>
    <definedName name="_O1" hidden="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_OB062005">#REF!</definedName>
    <definedName name="_OB99">#REF!</definedName>
    <definedName name="_OCF9899">#REF!</definedName>
    <definedName name="_OCF9900">#REF!</definedName>
    <definedName name="_OH1">#REF!</definedName>
    <definedName name="_OH2">#REF!</definedName>
    <definedName name="_oli" hidden="1">#REF!</definedName>
    <definedName name="_oooooooo_123ooooooo" hidden="1">#REF!</definedName>
    <definedName name="_OP1">#REF!</definedName>
    <definedName name="_OP2">#REF!</definedName>
    <definedName name="_OP3">#REF!</definedName>
    <definedName name="_OP4">#REF!</definedName>
    <definedName name="_ord4">#REF!</definedName>
    <definedName name="_ord5">#REF!</definedName>
    <definedName name="_Order1" hidden="1">255</definedName>
    <definedName name="_Order1_1" hidden="1">255</definedName>
    <definedName name="_Order2" hidden="1">255</definedName>
    <definedName name="_Order2_1" hidden="1">255</definedName>
    <definedName name="_OS1" hidden="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_OUT13300">#N/A</definedName>
    <definedName name="_OUT13502">#N/A</definedName>
    <definedName name="_out2">#REF!</definedName>
    <definedName name="_OUT41301">#N/A</definedName>
    <definedName name="_OUT85116">#N/A</definedName>
    <definedName name="_OUT85125">#N/A</definedName>
    <definedName name="_OUT86106">#N/A</definedName>
    <definedName name="_p">#REF!</definedName>
    <definedName name="_P1">#REF!</definedName>
    <definedName name="_P3">#REF!</definedName>
    <definedName name="_PA1">#REF!</definedName>
    <definedName name="_PA112">#REF!</definedName>
    <definedName name="_PAC1">#REF!</definedName>
    <definedName name="_PAC3">#REF!</definedName>
    <definedName name="_PAG2">!$A$73:$E$140</definedName>
    <definedName name="_PAM1">#REF!</definedName>
    <definedName name="_Parse_In" hidden="1">#REF!</definedName>
    <definedName name="_Parse_In_1">#N/A</definedName>
    <definedName name="_Parse_In_2">#N/A</definedName>
    <definedName name="_Parse_In_3">#N/A</definedName>
    <definedName name="_Parse_In_4">#N/A</definedName>
    <definedName name="_Parse_Out" hidden="1">#REF!</definedName>
    <definedName name="_Parse_Out_1">"#REF!"</definedName>
    <definedName name="_Parse_Out_2">"#REF!"</definedName>
    <definedName name="_Parse_Out_3">"#REF!"</definedName>
    <definedName name="_Parse_Out_4">"#REF!"</definedName>
    <definedName name="_pat27">#REF!</definedName>
    <definedName name="_pat4">#REF!</definedName>
    <definedName name="_pat5">#REF!</definedName>
    <definedName name="_pat6">#REF!</definedName>
    <definedName name="_pat7">#REF!</definedName>
    <definedName name="_pat8">#REF!</definedName>
    <definedName name="_pat9">#REF!</definedName>
    <definedName name="_pcSlicerSheet_Slicer1" hidden="1">#REF!</definedName>
    <definedName name="_pcSlicerSheet1_Slicer1" hidden="1">#REF!</definedName>
    <definedName name="_pcSlicerSheet1_Slicer2" hidden="1">#REF!</definedName>
    <definedName name="_PF1">#REF!</definedName>
    <definedName name="_PF2">#REF!</definedName>
    <definedName name="_PF3">#REF!</definedName>
    <definedName name="_PG02">#REF!</definedName>
    <definedName name="_PG1">#REF!</definedName>
    <definedName name="_PG10">#REF!</definedName>
    <definedName name="_PG11">#REF!</definedName>
    <definedName name="_PG12">#REF!</definedName>
    <definedName name="_pg13">#REF!</definedName>
    <definedName name="_pg14">#REF!</definedName>
    <definedName name="_PG2">#REF!</definedName>
    <definedName name="_pg3">#REF!</definedName>
    <definedName name="_PG4">#REF!</definedName>
    <definedName name="_pg45">#REF!</definedName>
    <definedName name="_PG5">#REF!</definedName>
    <definedName name="_PG6">#REF!</definedName>
    <definedName name="_PG62">#REF!</definedName>
    <definedName name="_pg7">#REF!</definedName>
    <definedName name="_PG8">#REF!</definedName>
    <definedName name="_pg9">#REF!</definedName>
    <definedName name="_pg99">#REF!</definedName>
    <definedName name="_PGE1">#REF!</definedName>
    <definedName name="_PGE10">#REF!</definedName>
    <definedName name="_PGE2">#REF!</definedName>
    <definedName name="_PGE3">#REF!</definedName>
    <definedName name="_PGE4">#REF!</definedName>
    <definedName name="_PGE5">#REF!</definedName>
    <definedName name="_PGE6">#REF!</definedName>
    <definedName name="_PGE7">#REF!</definedName>
    <definedName name="_PGE8">#REF!</definedName>
    <definedName name="_PGE9">#REF!</definedName>
    <definedName name="_PL1">#REF!</definedName>
    <definedName name="_PL2">#REF!</definedName>
    <definedName name="_PL3">#REF!</definedName>
    <definedName name="_PL65" hidden="1">{"PAGE 1",#N/A,FALSE,"ES-01-XX";"PAGE 2",#N/A,FALSE,"ES-01-XX"}</definedName>
    <definedName name="_PM1">#REF!</definedName>
    <definedName name="_pm2">#REF!</definedName>
    <definedName name="_PP1" hidden="1">{#N/A,#N/A,FALSE,"COMICRO";#N/A,#N/A,FALSE,"BALSCH";#N/A,#N/A,FALSE,"GLASS";#N/A,#N/A,FALSE,"DEPRE";#N/A,#N/A,FALSE,"A&amp;MCUR";#N/A,#N/A,FALSE,"AGEANAlysis";#N/A,#N/A,FALSE,"CHECKS";#N/A,#N/A,FALSE,"CHECKS"}</definedName>
    <definedName name="_PR1" hidden="1">{#N/A,#N/A,FALSE,"QC REVIEW"}</definedName>
    <definedName name="_pr11" hidden="1">{#N/A,#N/A,FALSE,"QC REVIEW"}</definedName>
    <definedName name="_pr2" hidden="1">{#N/A,#N/A,FALSE,"QC REVIEW"}</definedName>
    <definedName name="_pr3" hidden="1">{#N/A,#N/A,FALSE,"QC REVIEW"}</definedName>
    <definedName name="_pr31" hidden="1">{#N/A,#N/A,FALSE,"QC REVIEW"}</definedName>
    <definedName name="_pr4" hidden="1">{#N/A,#N/A,FALSE,"QC REVIEW"}</definedName>
    <definedName name="_pr5" hidden="1">{#N/A,#N/A,FALSE,"QC REVIEW"}</definedName>
    <definedName name="_prn01">#REF!</definedName>
    <definedName name="_prs3" hidden="1">{#N/A,#N/A,FALSE,"QC REVIEW"}</definedName>
    <definedName name="_prs5" hidden="1">{#N/A,#N/A,FALSE,"QC REVIEW"}</definedName>
    <definedName name="_PT8">#REF!</definedName>
    <definedName name="_pu1">#REF!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pwf320">#REF!</definedName>
    <definedName name="_pwf326">#REF!</definedName>
    <definedName name="_q1" hidden="1">{"page 1",#N/A,FALSE,"A";"page 2",#N/A,FALSE,"A";"page 3",#N/A,FALSE,"A";"page 4",#N/A,FALSE,"A";"page 5",#N/A,FALSE,"A"}</definedName>
    <definedName name="_q2" hidden="1">{#N/A,#N/A,FALSE,"COVER1.XLS ";#N/A,#N/A,FALSE,"RACT1.XLS";#N/A,#N/A,FALSE,"RACT2.XLS";#N/A,#N/A,FALSE,"ECCMP";#N/A,#N/A,FALSE,"WELDER.XLS"}</definedName>
    <definedName name="_QRA86106">#N/A</definedName>
    <definedName name="_qry2002">#REF!</definedName>
    <definedName name="_qry2003">#REF!</definedName>
    <definedName name="_qry2004">#REF!</definedName>
    <definedName name="_qtr02">#REF!</definedName>
    <definedName name="_qtr4">#REF!</definedName>
    <definedName name="_r" hidden="1">{#N/A,#N/A,FALSE,"Pharm";#N/A,#N/A,FALSE,"WWCM"}</definedName>
    <definedName name="_RA1" hidden="1">{"'Jan-02'!$F$46:$F$47","'Jan-02'!$F$46:$F$47"}</definedName>
    <definedName name="_ra15">#REF!</definedName>
    <definedName name="_ra16">#REF!</definedName>
    <definedName name="_Ram1" hidden="1">{#N/A,#N/A,TRUE,"BALSCH";#N/A,#N/A,TRUE,"COMICRO";#N/A,#N/A,TRUE,"CHECKS";#N/A,#N/A,TRUE,"GLASS";#N/A,#N/A,TRUE,"DEPRE";#N/A,#N/A,TRUE,"A&amp;MCUR";#N/A,#N/A,TRUE,"AGEANAlysis";#N/A,#N/A,TRUE,"CHECKS"}</definedName>
    <definedName name="_RAM7">#REF!</definedName>
    <definedName name="_RAN1">#N/A</definedName>
    <definedName name="_RAN2">#REF!</definedName>
    <definedName name="_RAN3">#REF!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1" hidden="1">{"'Sheet1'!$B$1:$B$2"}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P1">#REF!</definedName>
    <definedName name="_REP2">#REF!</definedName>
    <definedName name="_RM1">#REF!</definedName>
    <definedName name="_RMA1">#REF!</definedName>
    <definedName name="_ro10">#REF!</definedName>
    <definedName name="_roe97">#REF!</definedName>
    <definedName name="_rpt1">#REF!</definedName>
    <definedName name="_rpt2">#REF!</definedName>
    <definedName name="_RSE1">#REF!</definedName>
    <definedName name="_RSE2">#REF!</definedName>
    <definedName name="_RT25" hidden="1">{#N/A,#N/A,FALSE,"Umsatz 99";#N/A,#N/A,FALSE,"ER 99 "}</definedName>
    <definedName name="_RV_">#REF!</definedName>
    <definedName name="_RV_ESC__LEFT_2">#REF!</definedName>
    <definedName name="_RVMAIN">#REF!</definedName>
    <definedName name="_s1">#REF!</definedName>
    <definedName name="_s3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s34" hidden="1">{"QTD_GENERALH2",#N/A,FALSE,"QTD"}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0">#REF!</definedName>
    <definedName name="_SC13">#REF!</definedName>
    <definedName name="_sc14">#REF!</definedName>
    <definedName name="_sc6">#REF!</definedName>
    <definedName name="_sc7">#REF!</definedName>
    <definedName name="_sc9">#REF!</definedName>
    <definedName name="_SCB1">#REF!</definedName>
    <definedName name="_SCB2">#REF!</definedName>
    <definedName name="_SCG123">#REF!</definedName>
    <definedName name="_sch1">#REF!</definedName>
    <definedName name="_SCH10">#REF!</definedName>
    <definedName name="_sch11">#REF!</definedName>
    <definedName name="_SCH111213">#REF!</definedName>
    <definedName name="_SCH123">#REF!</definedName>
    <definedName name="_sch1314">#REF!</definedName>
    <definedName name="_SCH1415">#REF!</definedName>
    <definedName name="_SCH1519">#REF!</definedName>
    <definedName name="_sch16">#REF!</definedName>
    <definedName name="_sch2">#REF!</definedName>
    <definedName name="_sch20">#REF!</definedName>
    <definedName name="_sch212">#REF!</definedName>
    <definedName name="_sch3">#REF!</definedName>
    <definedName name="_sch34">#REF!</definedName>
    <definedName name="_sch4">#REF!</definedName>
    <definedName name="_sch5">#REF!</definedName>
    <definedName name="_SCH56">#REF!</definedName>
    <definedName name="_sch6">#REF!</definedName>
    <definedName name="_sch7">#REF!</definedName>
    <definedName name="_sch8">#REF!</definedName>
    <definedName name="_sch81">#REF!</definedName>
    <definedName name="_sch82">#REF!</definedName>
    <definedName name="_sch83">#REF!</definedName>
    <definedName name="_sch84">#REF!</definedName>
    <definedName name="_sch9">#REF!</definedName>
    <definedName name="_SCH910">#REF!</definedName>
    <definedName name="_sd34" hidden="1">{"QTD",#N/A,FALSE,"SUM"}</definedName>
    <definedName name="_SEP30">#REF!</definedName>
    <definedName name="_sep97">#REF!</definedName>
    <definedName name="_SG7">#REF!</definedName>
    <definedName name="_SG8">#REF!,#REF!</definedName>
    <definedName name="_SH3">#N/A</definedName>
    <definedName name="_sht1">#REF!</definedName>
    <definedName name="_sl1">#REF!</definedName>
    <definedName name="_Sort" hidden="1">#REF!</definedName>
    <definedName name="_SP42882">#REF!</definedName>
    <definedName name="_SPL1">#REF!</definedName>
    <definedName name="_SPL2">#REF!</definedName>
    <definedName name="_ss1" hidden="1">{"detail",#N/A,FALSE,"mfg";"summary",#N/A,FALSE,"mfg"}</definedName>
    <definedName name="_ST1">#REF!</definedName>
    <definedName name="_sti02" hidden="1">{#N/A,#N/A,FALSE,"gc (2)"}</definedName>
    <definedName name="_STK3">#REF!</definedName>
    <definedName name="_sua20">#REF!</definedName>
    <definedName name="_sua30">#REF!</definedName>
    <definedName name="_sum1">#REF!</definedName>
    <definedName name="_sum3">#REF!</definedName>
    <definedName name="_t">#REF!</definedName>
    <definedName name="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a1" hidden="1">{#N/A,#N/A,TRUE,"Financials";#N/A,#N/A,TRUE,"Operating Statistics";#N/A,#N/A,TRUE,"Capex &amp; Depreciation";#N/A,#N/A,TRUE,"Debt"}</definedName>
    <definedName name="_tab1">#REF!</definedName>
    <definedName name="_TAB2">#REF!</definedName>
    <definedName name="_tab3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ax3">#REF!</definedName>
    <definedName name="_tb1" hidden="1">{#N/A,#N/A,FALSE,"One Pager";#N/A,#N/A,FALSE,"Technical"}</definedName>
    <definedName name="_tb1000">#REF!</definedName>
    <definedName name="_tb2">#REF!</definedName>
    <definedName name="_TB2004">#REF!</definedName>
    <definedName name="_tb33">#REF!</definedName>
    <definedName name="_tb89">#REF!</definedName>
    <definedName name="_TC1901">#REF!</definedName>
    <definedName name="_tct5">#REF!</definedName>
    <definedName name="_tds1">#REF!</definedName>
    <definedName name="_test" hidden="1">{"'OBT_6M_30_6'!$S$1:$AE$53"}</definedName>
    <definedName name="_tg427">#REF!</definedName>
    <definedName name="_TH20">#REF!</definedName>
    <definedName name="_TLT1">#REF!</definedName>
    <definedName name="_tlt1_17">#REF!</definedName>
    <definedName name="_tlt1_4">#REF!</definedName>
    <definedName name="_tm1" hidden="1">{#N/A,#N/A,FALSE,"Pharm";#N/A,#N/A,FALSE,"WWCM"}</definedName>
    <definedName name="_TND1">#REF!</definedName>
    <definedName name="_TOP2">#REF!</definedName>
    <definedName name="_Top25">#REF!</definedName>
    <definedName name="_top25120">#REF!</definedName>
    <definedName name="_TOT1">#REF!</definedName>
    <definedName name="_TOT2">#REF!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ER1">#REF!</definedName>
    <definedName name="_usl1">#REF!</definedName>
    <definedName name="_V2" hidden="1">{#N/A,#N/A,FALSE,"Tabl. A1";#N/A,#N/A,FALSE,"Tabl. A1 b";#N/A,#N/A,FALSE,"Tabl. A2";#N/A,#N/A,FALSE,"Tabl. A2-1";#N/A,#N/A,FALSE,"Tabl. A2-2"}</definedName>
    <definedName name="_va1">#REF!</definedName>
    <definedName name="_VAR13300">#N/A</definedName>
    <definedName name="_VAR13502">#N/A</definedName>
    <definedName name="_VAR9798">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EN1">#REF!</definedName>
    <definedName name="_VEN2">#REF!</definedName>
    <definedName name="_VEN3">#REF!</definedName>
    <definedName name="_VEN4">#REF!</definedName>
    <definedName name="_VEN5">#REF!</definedName>
    <definedName name="_VEN6">#REF!</definedName>
    <definedName name="_VEN7">#REF!</definedName>
    <definedName name="_VEN8">#REF!</definedName>
    <definedName name="_vol1">#REF!</definedName>
    <definedName name="_vxm100">#REF!</definedName>
    <definedName name="_vxm300">#REF!</definedName>
    <definedName name="_vxm500">#REF!</definedName>
    <definedName name="_vxm75">#REF!</definedName>
    <definedName name="_w1" hidden="1">{"page 1",#N/A,FALSE,"A";"page 2",#N/A,FALSE,"A";"page 3",#N/A,FALSE,"A";"page 4",#N/A,FALSE,"A";"page 5",#N/A,FALSE,"A"}</definedName>
    <definedName name="_w2" hidden="1">{#N/A,#N/A,FALSE,"17MAY";#N/A,#N/A,FALSE,"24MAY"}</definedName>
    <definedName name="_WGZY">#REF!</definedName>
    <definedName name="_wrn.Aging._.and._.Trend._.Analysis" hidden="1">{#N/A,#N/A,FALSE,"Aging Summary";#N/A,#N/A,FALSE,"Ratio Analysis";#N/A,#N/A,FALSE,"Test 120 Day Accts";#N/A,#N/A,FALSE,"Tickmarks"}</definedName>
    <definedName name="_wrn071" hidden="1">{#N/A,"PURCHM",FALSE,"Business Analysis";#N/A,"SPADD",FALSE,"Business Analysis"}</definedName>
    <definedName name="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213" hidden="1">{"detail",#N/A,FALSE,"mfg";"summary",#N/A,FALSE,"mfg"}</definedName>
    <definedName name="_wrn3" hidden="1">{#N/A,#N/A,FALSE,"Aging Summary";#N/A,#N/A,FALSE,"Ratio Analysis";#N/A,#N/A,FALSE,"Test 120 Day Accts";#N/A,#N/A,FALSE,"Tickmarks"}</definedName>
    <definedName name="_WRN41" hidden="1">{"detail",#N/A,FALSE,"mfg";"summary",#N/A,FALSE,"mfg"}</definedName>
    <definedName name="_wrn413" hidden="1">{"detail",#N/A,FALSE,"mfg";"summary",#N/A,FALSE,"mfg"}</definedName>
    <definedName name="_wrn51" hidden="1">{#N/A,"PURCHM",FALSE,"Business Analysis";#N/A,"SPADD",FALSE,"Business Analysis"}</definedName>
    <definedName name="_wrn61" hidden="1">{"detail",#N/A,FALSE,"mfg";"summary",#N/A,FALSE,"mfg"}</definedName>
    <definedName name="_wrn651" hidden="1">{"detail",#N/A,FALSE,"mfg";"summary",#N/A,FALSE,"mfg"}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z1234">#REF!</definedName>
    <definedName name="_x1" hidden="1">{"detail",#N/A,FALSE,"mfg";"summary",#N/A,FALSE,"mfg"}</definedName>
    <definedName name="_X2" hidden="1">{#N/A,#N/A,FALSE,"Other";#N/A,#N/A,FALSE,"Ace";#N/A,#N/A,FALSE,"Derm"}</definedName>
    <definedName name="_x3" hidden="1">{"detail",#N/A,FALSE,"mfg";"summary",#N/A,FALSE,"mfg"}</definedName>
    <definedName name="_x4" hidden="1">{#N/A,"PURCHM",FALSE,"Business Analysis";#N/A,"SPADD",FALSE,"Business Analysis"}</definedName>
    <definedName name="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x10" hidden="1">{#N/A,"PURCHM",FALSE,"Business Analysis";#N/A,"SPADD",FALSE,"Business Analysis"}</definedName>
    <definedName name="_XX2">#REF!</definedName>
    <definedName name="_XX3">#REF!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YN1">#REF!</definedName>
    <definedName name="_YN2">#REF!</definedName>
    <definedName name="_YN3">#REF!</definedName>
    <definedName name="_YP34">#REF!</definedName>
    <definedName name="_z12" hidden="1">{"pro_view",#N/A,FALSE,"EEFSNAP2";"rep_view",#N/A,FALSE,"EEFSNAP2"}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x10">#REF!</definedName>
    <definedName name="_zx3">#REF!</definedName>
    <definedName name="_zx3_17">#REF!</definedName>
    <definedName name="_zx3_4">#REF!</definedName>
    <definedName name="_zz1" hidden="1">{"pro_view",#N/A,FALSE,"EEFSNAP2";"rep_view",#N/A,FALSE,"EEFSNAP2"}</definedName>
    <definedName name="_ZZ150">#REF!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¡Ø_ÃßÈÄ_NAVA__PROJECT´Â__ºÎÇ°_">#REF!</definedName>
    <definedName name="´ëÈ¸">#REF!</definedName>
    <definedName name="¿¹?eAN°y½AÆR¼³ONLY">#REF!</definedName>
    <definedName name="¿¹≫eAN°y½AÆR¼³ONLY">#REF!</definedName>
    <definedName name="¿ÆÄ¿Óà¶î±í">#REF!</definedName>
    <definedName name="¤?¤?">#REF!</definedName>
    <definedName name="¤±1">#REF!</definedName>
    <definedName name="¤·¤?¤¤¤·¤?¤¤">#REF!</definedName>
    <definedName name="¤·¤≪¤¤¤·¤≪¤¤">#REF!</definedName>
    <definedName name="¤A¤A">#REF!</definedName>
    <definedName name="¤μ¤μ">#REF!</definedName>
    <definedName name="【95年">#REF!</definedName>
    <definedName name="【変更の有無の選択】">#REF!</definedName>
    <definedName name="±a¾E°?">#REF!</definedName>
    <definedName name="±a¾E°ⓒ">#REF!</definedName>
    <definedName name="±a¾EA?">#REF!</definedName>
    <definedName name="±a¾EA≫">#REF!</definedName>
    <definedName name="√">"SQRT"</definedName>
    <definedName name="○">#REF!</definedName>
    <definedName name="°a°u">#REF!</definedName>
    <definedName name="·">#REF!</definedName>
    <definedName name="※_추후_NAVA__PROJECT는__부품_">#REF!</definedName>
    <definedName name="¹ß">#REF!</definedName>
    <definedName name="¹Uº¸">#REF!</definedName>
    <definedName name="a">#REF!</definedName>
    <definedName name="A?___R3_t">#REF!</definedName>
    <definedName name="A\" hidden="1">#REF!</definedName>
    <definedName name="a___0">#REF!</definedName>
    <definedName name="a___0___0">#REF!</definedName>
    <definedName name="a_1" hidden="1">{#N/A,#N/A,FALSE,"PMTABB";#N/A,#N/A,FALSE,"PMTABB"}</definedName>
    <definedName name="A_10">#REF!</definedName>
    <definedName name="a_17">#REF!</definedName>
    <definedName name="a_2" hidden="1">{#N/A,#N/A,FALSE,"PMTABB";#N/A,#N/A,FALSE,"PMTABB"}</definedName>
    <definedName name="A_2A">#REF!</definedName>
    <definedName name="A_2B">#REF!</definedName>
    <definedName name="A_2C">#REF!</definedName>
    <definedName name="A_2D30G">#REF!</definedName>
    <definedName name="A_2D514">#REF!</definedName>
    <definedName name="A_2D536">#REF!</definedName>
    <definedName name="A_2E">#REF!</definedName>
    <definedName name="A_2F03">#REF!</definedName>
    <definedName name="A_2F13">#REF!</definedName>
    <definedName name="A_2F14">#REF!</definedName>
    <definedName name="A_2F15">#REF!</definedName>
    <definedName name="A_2F20">#REF!</definedName>
    <definedName name="A_2F31">#REF!</definedName>
    <definedName name="A_2F41">#REF!</definedName>
    <definedName name="A_2F51">#REF!</definedName>
    <definedName name="A_2F53">#REF!</definedName>
    <definedName name="A_2YA21">#REF!</definedName>
    <definedName name="A_2YA22">#REF!</definedName>
    <definedName name="A_2YA24">#REF!</definedName>
    <definedName name="A_2YA31">#REF!</definedName>
    <definedName name="A_2YA32">#REF!</definedName>
    <definedName name="A_2YA33">#REF!</definedName>
    <definedName name="A_2YA34">#REF!</definedName>
    <definedName name="A_2YA4">#REF!</definedName>
    <definedName name="A_2YP1">#REF!</definedName>
    <definedName name="A_2YP2">#REF!</definedName>
    <definedName name="A_2YP31">#REF!</definedName>
    <definedName name="A_2YP32">#REF!</definedName>
    <definedName name="A_2YP33">#REF!</definedName>
    <definedName name="A_2YP34">#REF!</definedName>
    <definedName name="A_2YP4">#REF!</definedName>
    <definedName name="a_3" hidden="1">{#N/A,#N/A,FALSE,"PMTABB";#N/A,#N/A,FALSE,"PMTABB"}</definedName>
    <definedName name="a_4" hidden="1">{#N/A,#N/A,FALSE,"PMTABB";#N/A,#N/A,FALSE,"PMTABB"}</definedName>
    <definedName name="A_impresión_IM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">#REF!</definedName>
    <definedName name="A1.1">#REF!</definedName>
    <definedName name="a1\">#REF!</definedName>
    <definedName name="A1_">#REF!</definedName>
    <definedName name="a1__17">#REF!</definedName>
    <definedName name="A10_">#REF!</definedName>
    <definedName name="A11A" hidden="1">{#N/A,#N/A,FALSE,"Umsatz 99";#N/A,#N/A,FALSE,"ER 99 "}</definedName>
    <definedName name="A13_">#REF!</definedName>
    <definedName name="a1a" hidden="1">{#N/A,"PURCHM",FALSE,"Business Analysis";#N/A,"SPADD",FALSE,"Business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_">#REF!</definedName>
    <definedName name="a277Print_Titles">#REF!</definedName>
    <definedName name="a2a" hidden="1">{"detail",#N/A,FALSE,"mfg";"summary",#N/A,FALSE,"mfg"}</definedName>
    <definedName name="A3_">#REF!</definedName>
    <definedName name="A3O2">#REF!</definedName>
    <definedName name="A4_">#REF!</definedName>
    <definedName name="A4A293059">#REF!</definedName>
    <definedName name="A5_">#REF!</definedName>
    <definedName name="A6_">#REF!</definedName>
    <definedName name="a654645454545">#REF!</definedName>
    <definedName name="A7_">#REF!</definedName>
    <definedName name="A8_">#REF!</definedName>
    <definedName name="A9_">#REF!</definedName>
    <definedName name="aa">#REF!</definedName>
    <definedName name="AA.Report.Files" hidden="1">#REF!</definedName>
    <definedName name="AA.Reports.Available" hidden="1">#REF!</definedName>
    <definedName name="aa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16">#REF!</definedName>
    <definedName name="AA_17">#REF!</definedName>
    <definedName name="aa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CF">#REF!</definedName>
    <definedName name="AA_cons">#REF!</definedName>
    <definedName name="aa_consn.">#REF!</definedName>
    <definedName name="AA_op_stock">#REF!</definedName>
    <definedName name="AA_prodn">#REF!</definedName>
    <definedName name="aa_prodn.">#REF!</definedName>
    <definedName name="aa_sale">#REF!</definedName>
    <definedName name="AA_Sch_7">#REF!</definedName>
    <definedName name="AA_Sch_8">#REF!</definedName>
    <definedName name="AA10.DedFromUndertaking">#REF!</definedName>
    <definedName name="aaa">#REF!</definedName>
    <definedName name="äää" hidden="1">{#N/A,#N/A,FALSE,"Umsatz 99";#N/A,#N/A,FALSE,"ER 99 "}</definedName>
    <definedName name="AAA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_2" hidden="1">{#N/A,#N/A,FALSE,"PMTABB";#N/A,#N/A,FALSE,"PMTABB"}</definedName>
    <definedName name="aaa_3" hidden="1">{#N/A,#N/A,FALSE,"PMTABB";#N/A,#N/A,FALSE,"PMTABB"}</definedName>
    <definedName name="aaa_4" hidden="1">{#N/A,#N/A,FALSE,"PMTABB";#N/A,#N/A,FALSE,"PMTABB"}</definedName>
    <definedName name="AAA_DOCTOPS" hidden="1">"AAA_SET"</definedName>
    <definedName name="AAA_duser" hidden="1">"OFF"</definedName>
    <definedName name="aaa_new">#REF!</definedName>
    <definedName name="aaaa">#REF!</definedName>
    <definedName name="AAAAA">#REF!</definedName>
    <definedName name="Aaaaaa">#REF!</definedName>
    <definedName name="aaaaaaa" hidden="1">{#N/A,#N/A,FALSE,"REPORT"}</definedName>
    <definedName name="AAAAAAAA" hidden="1">{"page 1",#N/A,FALSE,"A";"page 2",#N/A,FALSE,"A";"page 3",#N/A,FALSE,"A";"page 4",#N/A,FALSE,"A";"page 5",#N/A,FALSE,"A"}</definedName>
    <definedName name="aaaaaaaaa">#REF!</definedName>
    <definedName name="aaaaaaaaaa">#REF!</definedName>
    <definedName name="aaaaaaaaaaa" hidden="1">{#N/A,#N/A,FALSE,"REPORT"}</definedName>
    <definedName name="AAAAAAAAAAAA" hidden="1">{#N/A,#N/A,FALSE,"Tabl. A1";#N/A,#N/A,FALSE,"Tabl. A1 b";#N/A,#N/A,FALSE,"Tabl. A2";#N/A,#N/A,FALSE,"Tabl. A2-1";#N/A,#N/A,FALSE,"Tabl. A2-2"}</definedName>
    <definedName name="AAAAAAAAAAAAA">#REF!</definedName>
    <definedName name="aaaaaaaaaaaaaaa" hidden="1">{#N/A,#N/A,FALSE,"Pharm";#N/A,#N/A,FALSE,"WWCM"}</definedName>
    <definedName name="aaaaaaaaaaaaaaaaa">#REF!</definedName>
    <definedName name="aaaaaaaaaaaaaaaaaa">#REF!</definedName>
    <definedName name="aaaaaaaaaaaaaaaaaaaaaaaaaa" hidden="1">{"detail",#N/A,FALSE,"mfg";"summary",#N/A,FALSE,"mfg"}</definedName>
    <definedName name="aaaaaaaaaaaaaaaaaaaaaaaaaaa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llsalaslsalsla">#REF!</definedName>
    <definedName name="aaaaab" hidden="1">{#N/A,#N/A,FALSE,"Model";#N/A,#N/A,FALSE,"Division"}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qa">#REF!</definedName>
    <definedName name="aaasb" hidden="1">{#N/A,#N/A,FALSE,"Pharm";#N/A,#N/A,FALSE,"WWCM"}</definedName>
    <definedName name="aab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id">#REF!</definedName>
    <definedName name="aaD" hidden="1">#REF!</definedName>
    <definedName name="aaddd" hidden="1">{#N/A,#N/A,FALSE,"REPORT"}</definedName>
    <definedName name="aaffa" hidden="1">{#N/A,#N/A,FALSE,"COVER.XLS";#N/A,#N/A,FALSE,"RACT1.XLS";#N/A,#N/A,FALSE,"RACT2.XLS";#N/A,#N/A,FALSE,"ECCMP";#N/A,#N/A,FALSE,"WELDER.XLS"}</definedName>
    <definedName name="aam">#N/A</definedName>
    <definedName name="AAPLANIAMARZO">#REF!</definedName>
    <definedName name="aas" hidden="1">{#N/A,#N/A,FALSE,"FFM"}</definedName>
    <definedName name="aasd" hidden="1">{#N/A,#N/A,TRUE,"BT M200 da 10x20"}</definedName>
    <definedName name="aass" hidden="1">{"detail",#N/A,FALSE,"mfg";"summary",#N/A,FALSE,"mfg"}</definedName>
    <definedName name="AASSD" hidden="1">{"'BGT2001'!$A$1:$AE$112"}</definedName>
    <definedName name="aav">{#N/A,#N/A,FALSE,"AUDIT-MWOS"}</definedName>
    <definedName name="aaww" hidden="1">{"Polymers Details",#N/A,FALSE,"Current Yr";"Polymer Details",#N/A,FALSE,"Budget";"Polymer Details",#N/A,FALSE,"Prior Year"}</definedName>
    <definedName name="aax" hidden="1">{"detail",#N/A,FALSE,"mfg";"summary",#N/A,FALSE,"mfg"}</definedName>
    <definedName name="AAZAZER" hidden="1">{#N/A,#N/A,FALSE,"Tabl. A1";#N/A,#N/A,FALSE,"Tabl. A1 b";#N/A,#N/A,FALSE,"Tabl. A2";#N/A,#N/A,FALSE,"Tabl. A2-1";#N/A,#N/A,FALSE,"Tabl. A2-2"}</definedName>
    <definedName name="AB">#REF!</definedName>
    <definedName name="ab_1" hidden="1">{#N/A,#N/A,FALSE,"FREE"}</definedName>
    <definedName name="ab_2" hidden="1">{#N/A,#N/A,FALSE,"FREE"}</definedName>
    <definedName name="ab_3" hidden="1">{#N/A,#N/A,FALSE,"FREE"}</definedName>
    <definedName name="ab_4" hidden="1">{#N/A,#N/A,FALSE,"FREE"}</definedName>
    <definedName name="ABA">#REF!</definedName>
    <definedName name="aba_new">#REF!</definedName>
    <definedName name="ABACUS">#REF!</definedName>
    <definedName name="ABB_TO_UPDATE">#REF!</definedName>
    <definedName name="abb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bb">#REF!</definedName>
    <definedName name="abc" hidden="1">#REF!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d">#REF!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e">#REF!</definedName>
    <definedName name="abcdefg">{"Client Name or Project Name"}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ji" hidden="1">{#N/A,"PURCHM",FALSE,"Business Analysis";#N/A,"SPADD",FALSE,"Business Analysis"}</definedName>
    <definedName name="abki9" hidden="1">{#N/A,"PURCHM",FALSE,"Business Analysis";#N/A,"SPADD",FALSE,"Business Analysis"}</definedName>
    <definedName name="ablo5" hidden="1">{#N/A,"PURCHM",FALSE,"Business Analysis";#N/A,"SPADD",FALSE,"Business Analysis"}</definedName>
    <definedName name="ABN" hidden="1">{#N/A,#N/A,FALSE,"Tabl. FB300";#N/A,#N/A,FALSE,"Tabl. FB350";#N/A,#N/A,FALSE,"Tabl. FB400";#N/A,#N/A,FALSE,"Tabl. FB500";#N/A,#N/A,FALSE,"Tabl. FS090"}</definedName>
    <definedName name="ABRMENU">#N/A</definedName>
    <definedName name="abs">#REF!</definedName>
    <definedName name="AbsorptionKostenstelle">#REF!</definedName>
    <definedName name="abstract">#REF!</definedName>
    <definedName name="AC">#REF!</definedName>
    <definedName name="ac_code">#N/A</definedName>
    <definedName name="AC_PA">#REF!</definedName>
    <definedName name="acas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c">#REF!</definedName>
    <definedName name="ACCA_M">#REF!</definedName>
    <definedName name="Access_Button" hidden="1">"ＴＰ総括表_ビルデータ_List"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"U:\User\COMMON\ADBK.mdb"</definedName>
    <definedName name="AccessDatabase_1" hidden="1">"C:\USERS\bwallac\mydocs\SAMPLE DB.mdb"</definedName>
    <definedName name="ACCG1">#REF!</definedName>
    <definedName name="ACCGR1">#REF!</definedName>
    <definedName name="ACCGR2">#REF!</definedName>
    <definedName name="ACCGR3">#REF!</definedName>
    <definedName name="ACCGR4">#REF!</definedName>
    <definedName name="ACCGR5">#REF!</definedName>
    <definedName name="ACCGR6">#REF!</definedName>
    <definedName name="ACCGRP1">#REF!</definedName>
    <definedName name="AccmSort">#REF!</definedName>
    <definedName name="AccmTable">#REF!</definedName>
    <definedName name="Account">#REF!</definedName>
    <definedName name="Account_4">#REF!</definedName>
    <definedName name="Account_Balance">#REF!</definedName>
    <definedName name="Account_From">#REF!</definedName>
    <definedName name="Account_To">#REF!</definedName>
    <definedName name="Account_Type">#REF!</definedName>
    <definedName name="account120">#REF!</definedName>
    <definedName name="account120_13">#REF!</definedName>
    <definedName name="account120_21">#REF!</definedName>
    <definedName name="accountcode">#REF!</definedName>
    <definedName name="ACCOUNTEDPERIODTYPE1">#REF!</definedName>
    <definedName name="ACCOUNTEDPERIODTYPE2">#REF!</definedName>
    <definedName name="ACCOUNTEDPERIODTYPE3">#REF!</definedName>
    <definedName name="ACCOUNTS_PAYABLE">#REF!</definedName>
    <definedName name="accs" hidden="1">{"detail",#N/A,FALSE,"mfg";"summary",#N/A,FALSE,"mfg"}</definedName>
    <definedName name="ACCT">#REF!</definedName>
    <definedName name="ACCT_ANAL">#REF!</definedName>
    <definedName name="ACCT_CODE">#N/A</definedName>
    <definedName name="acct_policy">#REF!</definedName>
    <definedName name="Acctperiod">#REF!</definedName>
    <definedName name="Accumulated_Dep___Building_improvement">#REF!</definedName>
    <definedName name="acd">#REF!</definedName>
    <definedName name="acfinal">#REF!</definedName>
    <definedName name="ACK">#REF!</definedName>
    <definedName name="ackcheck">#REF!</definedName>
    <definedName name="Acq_Equity">#REF!</definedName>
    <definedName name="Acquisition_Fee_24">#REF!</definedName>
    <definedName name="Acquisition_Fee_36">#REF!</definedName>
    <definedName name="act">#REF!</definedName>
    <definedName name="ACTA">#REF!</definedName>
    <definedName name="ACTB">#REF!</definedName>
    <definedName name="ACTC">#REF!</definedName>
    <definedName name="ACTD30G">#REF!</definedName>
    <definedName name="ACTD514">#REF!</definedName>
    <definedName name="ACTD536">#REF!</definedName>
    <definedName name="ACTE">#REF!</definedName>
    <definedName name="ACTEOH">#N/A</definedName>
    <definedName name="ACTF03">#REF!</definedName>
    <definedName name="ACTF13">#REF!</definedName>
    <definedName name="ACTF14">#REF!</definedName>
    <definedName name="ACTF15">#REF!</definedName>
    <definedName name="ACTF20">#REF!</definedName>
    <definedName name="ACTF31">#REF!</definedName>
    <definedName name="ACTF41">#REF!</definedName>
    <definedName name="ACTF51">#REF!</definedName>
    <definedName name="ACTF53">#REF!</definedName>
    <definedName name="ACTIMP">#REF!</definedName>
    <definedName name="Action">#REF!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acion">#REF!,#REF!,#REF!,#REF!,#REF!,#REF!,#REF!,#REF!,#REF!,#REF!,#REF!,#REF!,#REF!,#REF!,#REF!,#REF!</definedName>
    <definedName name="Activacion_FUNDACION">#REF!,#REF!,#REF!,#REF!,#REF!,#REF!,#REF!,#REF!,#REF!,#REF!,#REF!,#REF!,#REF!,#REF!,#REF!,#REF!,#REF!,#REF!</definedName>
    <definedName name="Activacion_PROCESO">#REF!,#REF!,#REF!,#REF!,#REF!,#REF!,#REF!,#REF!,#REF!,#REF!,#REF!,#REF!,#REF!,#REF!,#REF!,#REF!</definedName>
    <definedName name="ActiveBldgIDNumbers">#REF!</definedName>
    <definedName name="activitywise">#REF!</definedName>
    <definedName name="ACTPROD">#N/A</definedName>
    <definedName name="ACTRF">#REF!</definedName>
    <definedName name="actual">#REF!</definedName>
    <definedName name="Actual_4Q01">#REF!</definedName>
    <definedName name="Actual_Variance">#REF!</definedName>
    <definedName name="actuals">#REF!</definedName>
    <definedName name="ACTYA21">#REF!</definedName>
    <definedName name="ACTYA22">#REF!</definedName>
    <definedName name="ACTYA24">#REF!</definedName>
    <definedName name="ACTYA31">#REF!</definedName>
    <definedName name="ACTYA32">#REF!</definedName>
    <definedName name="ACTYA33">#REF!</definedName>
    <definedName name="ACTYA34">#REF!</definedName>
    <definedName name="ACTYA4">#REF!</definedName>
    <definedName name="ACTYP1">#REF!</definedName>
    <definedName name="ACTYP2">#REF!</definedName>
    <definedName name="ACTYP31">#REF!</definedName>
    <definedName name="ACTYP32">#REF!</definedName>
    <definedName name="ACTYP33">#REF!</definedName>
    <definedName name="ACTYP34">#REF!</definedName>
    <definedName name="ACTYP4">#REF!</definedName>
    <definedName name="ACwvu.nnn." hidden="1">#REF!</definedName>
    <definedName name="ad" hidden="1">{#N/A,#N/A,FALSE,"PMTABB";#N/A,#N/A,FALSE,"PMTABB"}</definedName>
    <definedName name="ad_1" hidden="1">{#N/A,#N/A,FALSE,"PMTABB";#N/A,#N/A,FALSE,"PMTABB"}</definedName>
    <definedName name="AD_16">#REF!</definedName>
    <definedName name="AD_17">#REF!</definedName>
    <definedName name="AD_4">#REF!</definedName>
    <definedName name="AD_cons">#REF!</definedName>
    <definedName name="AD_op_stock">#REF!</definedName>
    <definedName name="AD_prodn">#REF!</definedName>
    <definedName name="AD_sale">#REF!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" hidden="1">{#N/A,#N/A,FALSE,"QC REVIEW"}</definedName>
    <definedName name="adadad">#REF!</definedName>
    <definedName name="adadd" hidden="1">{#N/A,#N/A,FALSE,"COVER1.XLS ";#N/A,#N/A,FALSE,"RACT1.XLS";#N/A,#N/A,FALSE,"RACT2.XLS";#N/A,#N/A,FALSE,"ECCMP";#N/A,#N/A,FALSE,"WELDER.XLS"}</definedName>
    <definedName name="adadsa" hidden="1">{#N/A,#N/A,FALSE,"QC REVIEW"}</definedName>
    <definedName name="Adarsh">#REF!</definedName>
    <definedName name="Adarshe">#REF!</definedName>
    <definedName name="Adas">#REF!</definedName>
    <definedName name="adasd" hidden="1">{#N/A,#N/A,FALSE,"KA CH  (2)"}</definedName>
    <definedName name="adasda" hidden="1">{#N/A,#N/A,FALSE,"QC REVIEW"}</definedName>
    <definedName name="adasdasd" hidden="1">{#N/A,#N/A,FALSE,"QC REVIEW"}</definedName>
    <definedName name="Adasr">#REF!</definedName>
    <definedName name="adc" hidden="1">{#N/A,"PURCHM",FALSE,"Business Analysis";#N/A,"SPADD",FALSE,"Business Analysis"}</definedName>
    <definedName name="ADCOMP">#REF!</definedName>
    <definedName name="ADD">#REF!</definedName>
    <definedName name="add_BO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D_DEP">#REF!</definedName>
    <definedName name="add_info">#REF!</definedName>
    <definedName name="ADD_SCH">#REF!</definedName>
    <definedName name="addd">#REF!</definedName>
    <definedName name="AddFormula">#REF!</definedName>
    <definedName name="Addition">#REF!</definedName>
    <definedName name="additions">#REF!</definedName>
    <definedName name="AdditionstoVehicles">#REF!</definedName>
    <definedName name="Addre">#REF!</definedName>
    <definedName name="Address">#REF!</definedName>
    <definedName name="adf">#REF!</definedName>
    <definedName name="adfafd">#REF!</definedName>
    <definedName name="adfd" hidden="1">{"sales growth",#N/A,FALSE,"summary";"oper income",#N/A,FALSE,"summary";"oros rank",#N/A,FALSE,"summary";"net assets",#N/A,FALSE,"summary";"asset turnover",#N/A,FALSE,"summary";"orona",#N/A,FALSE,"summary"}</definedName>
    <definedName name="adff">#REF!</definedName>
    <definedName name="adfgasdysty" hidden="1">{#N/A,#N/A,FALSE,"REPORT"}</definedName>
    <definedName name="adfkjsadjg">#REF!</definedName>
    <definedName name="adfrs" hidden="1">{#N/A,#N/A,FALSE,"COVER.XLS";#N/A,#N/A,FALSE,"RACT1.XLS";#N/A,#N/A,FALSE,"RACT2.XLS";#N/A,#N/A,FALSE,"ECCMP";#N/A,#N/A,FALSE,"WELDER.XLS"}</definedName>
    <definedName name="adfs" hidden="1">{#N/A,#N/A,FALSE,"PMTABB";#N/A,#N/A,FALSE,"PMTABB"}</definedName>
    <definedName name="adfs_2" hidden="1">{#N/A,#N/A,FALSE,"PMTABB";#N/A,#N/A,FALSE,"PMTABB"}</definedName>
    <definedName name="adfs_3" hidden="1">{#N/A,#N/A,FALSE,"PMTABB";#N/A,#N/A,FALSE,"PMTABB"}</definedName>
    <definedName name="adfs_4" hidden="1">{#N/A,#N/A,FALSE,"PMTABB";#N/A,#N/A,FALSE,"PMTABB"}</definedName>
    <definedName name="adfsd" hidden="1">{#N/A,#N/A,FALSE,"COMP"}</definedName>
    <definedName name="adfsfjfjky" hidden="1">{#N/A,#N/A,FALSE,"REPORT"}</definedName>
    <definedName name="ADFUR">#REF!</definedName>
    <definedName name="adgfgd" hidden="1">{"detail",#N/A,FALSE,"mfg";"summary",#N/A,FALSE,"mfg"}</definedName>
    <definedName name="adI">#REF!</definedName>
    <definedName name="adII">#REF!</definedName>
    <definedName name="adIII">#REF!</definedName>
    <definedName name="ADJ">#REF!</definedName>
    <definedName name="ADJ.CAPITAL.BASE">#REF!</definedName>
    <definedName name="Adj_Bank_Balance">#REF!</definedName>
    <definedName name="ADJ_START">#REF!</definedName>
    <definedName name="adjhw">#REF!</definedName>
    <definedName name="adjsw">#REF!</definedName>
    <definedName name="adjtotloss.BusLossOthThanSpecLossCF9">#REF!</definedName>
    <definedName name="adjtotloss.HPLossCF9">#REF!</definedName>
    <definedName name="adjtotloss.LossFrmSpecBusCF9">#REF!</definedName>
    <definedName name="adjtotloss.LTCGLossCF9">#REF!</definedName>
    <definedName name="adjtotloss.OthSrcLossRaceHorseCF9">#REF!</definedName>
    <definedName name="adjtotloss.STCGLossCF9">#REF!</definedName>
    <definedName name="adm">#REF!</definedName>
    <definedName name="Adm.Selling">#REF!</definedName>
    <definedName name="admin">#REF!</definedName>
    <definedName name="Admin_Asia">#REF!</definedName>
    <definedName name="ADMIN_EXP">#REF!</definedName>
    <definedName name="ADMINdept">#REF!</definedName>
    <definedName name="adminfee">#REF!</definedName>
    <definedName name="administration">#REF!</definedName>
    <definedName name="Administrative">#REF!</definedName>
    <definedName name="ADMINS">#REF!,#REF!</definedName>
    <definedName name="ADMN_EXP">#REF!</definedName>
    <definedName name="admn_off">#REF!</definedName>
    <definedName name="admn_site">#REF!</definedName>
    <definedName name="ADOFFEQ">#REF!</definedName>
    <definedName name="ADR_SWITCH">#REF!</definedName>
    <definedName name="adrt">#REF!</definedName>
    <definedName name="ads" hidden="1">{#N/A,#N/A,FALSE,"COVER1.XLS ";#N/A,#N/A,FALSE,"RACT1.XLS";#N/A,#N/A,FALSE,"RACT2.XLS";#N/A,#N/A,FALSE,"ECCMP";#N/A,#N/A,FALSE,"WELDER.XLS"}</definedName>
    <definedName name="ads\" hidden="1">#REF!</definedName>
    <definedName name="adsad" hidden="1">{#N/A,#N/A,FALSE,"QC REVIEW"}</definedName>
    <definedName name="adsas" hidden="1">{#N/A,#N/A,FALSE,"FFM"}</definedName>
    <definedName name="adsd">#REF!</definedName>
    <definedName name="adsf" hidden="1">{"QTD",#N/A,FALSE,"SUM"}</definedName>
    <definedName name="adsfa" hidden="1">{#N/A,#N/A,TRUE,"SCR-LA 2000";#N/A,#N/A,TRUE,"SCR-LA 2001";#N/A,#N/A,TRUE,"SCR-LA 2002";#N/A,#N/A,TRUE,"SCR-LA 2003"}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PL">#REF!</definedName>
    <definedName name="adss">{#N/A,#N/A,FALSE,"John TTL";#N/A,#N/A,FALSE,"BANKCARD ADM";#N/A,#N/A,FALSE,"BANKCARD MKT TTL";#N/A,#N/A,FALSE,"CARDPHONE CENTER";#N/A,#N/A,FALSE,"CCSI NEW APP";#N/A,#N/A,FALSE,"BANKCARD CREDIT";#N/A,#N/A,FALSE,"CCSI OPS";#N/A,#N/A,FALSE,"card other";#N/A,#N/A,FALSE,"co brand"}</definedName>
    <definedName name="adt">#REF!</definedName>
    <definedName name="adv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vance">#REF!</definedName>
    <definedName name="advance_tax">#REF!</definedName>
    <definedName name="ADVANCES">#REF!</definedName>
    <definedName name="advancetax">#REF!</definedName>
    <definedName name="advancetaxhfk">#REF!</definedName>
    <definedName name="advancetaxjsk">#REF!</definedName>
    <definedName name="ADVFR">#REF!</definedName>
    <definedName name="AdvOthers">#REF!</definedName>
    <definedName name="advr">#REF!</definedName>
    <definedName name="advstaff">#REF!</definedName>
    <definedName name="advtaxmar06" hidden="1">{#N/A,#N/A,FALSE,"Aging Summary";#N/A,#N/A,FALSE,"Ratio Analysis";#N/A,#N/A,FALSE,"Test 120 Day Accts";#N/A,#N/A,FALSE,"Tickmarks"}</definedName>
    <definedName name="advtaxmar06_1" hidden="1">{#N/A,#N/A,FALSE,"Aging Summary";#N/A,#N/A,FALSE,"Ratio Analysis";#N/A,#N/A,FALSE,"Test 120 Day Accts";#N/A,#N/A,FALSE,"Tickmarks"}</definedName>
    <definedName name="ADVTO">#REF!</definedName>
    <definedName name="ae" hidden="1">{#N/A,#N/A,FALSE,"PMTABB";#N/A,#N/A,FALSE,"PMTABB"}</definedName>
    <definedName name="aefsdfsd" hidden="1">#REF!</definedName>
    <definedName name="aer" hidden="1">{#N/A,#N/A,FALSE,"EW"}</definedName>
    <definedName name="aer_2" hidden="1">{#N/A,#N/A,FALSE,"EW"}</definedName>
    <definedName name="aer_3" hidden="1">{#N/A,#N/A,FALSE,"EW"}</definedName>
    <definedName name="aer_4" hidden="1">{#N/A,#N/A,FALSE,"EW"}</definedName>
    <definedName name="aereh" hidden="1">{"Annual",#N/A,FALSE,"Sales &amp; Market";"Quarterly",#N/A,FALSE,"Sales &amp; Market"}</definedName>
    <definedName name="aerewrw4e" hidden="1">#REF!</definedName>
    <definedName name="aersrwe" hidden="1">#REF!</definedName>
    <definedName name="aerwer" hidden="1">#REF!</definedName>
    <definedName name="AET" hidden="1">{"'BGT2001'!$A$1:$AE$112"}</definedName>
    <definedName name="aew" hidden="1">{#N/A,"PURCHM",FALSE,"Business Analysis";#N/A,"SPADD",FALSE,"Business Analysis"}</definedName>
    <definedName name="afc" hidden="1">{"detail",#N/A,FALSE,"mfg";"summary",#N/A,FALSE,"mfg"}</definedName>
    <definedName name="AFDADSFDAS" hidden="1">{#N/A,#N/A,FALSE,"REPORT"}</definedName>
    <definedName name="afdfsdfsd" hidden="1">#REF!</definedName>
    <definedName name="afds" hidden="1">{"YTD",#N/A,FALSE,"SUM"}</definedName>
    <definedName name="AFECLKZE" hidden="1">{#N/A,#N/A,FALSE,"Tabl. A1";#N/A,#N/A,FALSE,"Tabl. A1 b";#N/A,#N/A,FALSE,"Tabl. A2";#N/A,#N/A,FALSE,"Tabl. A2-1";#N/A,#N/A,FALSE,"Tabl. A2-2"}</definedName>
    <definedName name="AFGGF" hidden="1">{#N/A,#N/A,FALSE,"Tabl. D1";#N/A,#N/A,FALSE,"Tabl. D1 b";#N/A,#N/A,FALSE,"Tabl. D2";#N/A,#N/A,FALSE,"Tabl. D2 b";#N/A,#N/A,FALSE,"Tabl. D3";#N/A,#N/A,FALSE,"Tabl. D4";#N/A,#N/A,FALSE,"Tabl. D5"}</definedName>
    <definedName name="afi">#REF!</definedName>
    <definedName name="africa" hidden="1">{#N/A,#N/A,FALSE,"CNS";#N/A,#N/A,FALSE,"Serz";#N/A,#N/A,FALSE,"Ace"}</definedName>
    <definedName name="AFSDF" hidden="1">{#N/A,#N/A,FALSE,"PMTABB";#N/A,#N/A,FALSE,"PMTABB"}</definedName>
    <definedName name="AFSDF_1" hidden="1">{#N/A,#N/A,FALSE,"PMTABB";#N/A,#N/A,FALSE,"PMTABB"}</definedName>
    <definedName name="AFSDF_2" hidden="1">{#N/A,#N/A,FALSE,"PMTABB";#N/A,#N/A,FALSE,"PMTABB"}</definedName>
    <definedName name="AFSDF_3" hidden="1">{#N/A,#N/A,FALSE,"PMTABB";#N/A,#N/A,FALSE,"PMTABB"}</definedName>
    <definedName name="AFSDF_4" hidden="1">{#N/A,#N/A,FALSE,"PMTABB";#N/A,#N/A,FALSE,"PMTABB"}</definedName>
    <definedName name="afsdfsdfds" hidden="1">#REF!</definedName>
    <definedName name="afsdfsdgfsd" hidden="1">#REF!</definedName>
    <definedName name="afsdrt" hidden="1">{#N/A,#N/A,FALSE,"Aging Summary";#N/A,#N/A,FALSE,"Ratio Analysis";#N/A,#N/A,FALSE,"Test 120 Day Accts";#N/A,#N/A,FALSE,"Tickmarks"}</definedName>
    <definedName name="afsdrt_2" hidden="1">{#N/A,#N/A,FALSE,"Aging Summary";#N/A,#N/A,FALSE,"Ratio Analysis";#N/A,#N/A,FALSE,"Test 120 Day Accts";#N/A,#N/A,FALSE,"Tickmarks"}</definedName>
    <definedName name="afsdrt_3" hidden="1">{#N/A,#N/A,FALSE,"Aging Summary";#N/A,#N/A,FALSE,"Ratio Analysis";#N/A,#N/A,FALSE,"Test 120 Day Accts";#N/A,#N/A,FALSE,"Tickmarks"}</definedName>
    <definedName name="afsdrt_4" hidden="1">{#N/A,#N/A,FALSE,"Aging Summary";#N/A,#N/A,FALSE,"Ratio Analysis";#N/A,#N/A,FALSE,"Test 120 Day Accts";#N/A,#N/A,FALSE,"Tickmarks"}</definedName>
    <definedName name="afssdrt" hidden="1">{#N/A,#N/A,FALSE,"EW"}</definedName>
    <definedName name="afssdrt_2" hidden="1">{#N/A,#N/A,FALSE,"EW"}</definedName>
    <definedName name="afssdrt_3" hidden="1">{#N/A,#N/A,FALSE,"EW"}</definedName>
    <definedName name="afssdrt_4" hidden="1">{#N/A,#N/A,FALSE,"EW"}</definedName>
    <definedName name="aftbudget">#N/A</definedName>
    <definedName name="ag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_power">#REF!</definedName>
    <definedName name="agafdhsdh" hidden="1">{#N/A,#N/A,FALSE,"REPORT"}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d_inventory">#REF!</definedName>
    <definedName name="ageing">#REF!</definedName>
    <definedName name="Ageinganalysis">#REF!</definedName>
    <definedName name="Agency_Commission_latest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gent">#REF!</definedName>
    <definedName name="agfdg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ma">#REF!</definedName>
    <definedName name="agreed_scope_changes">#REF!</definedName>
    <definedName name="agricult_income">#REF!</definedName>
    <definedName name="agsgaghgfj" hidden="1">{#N/A,#N/A,FALSE,"Pharm";#N/A,#N/A,FALSE,"WWCM"}</definedName>
    <definedName name="AGXBXBCCC" hidden="1">{"'OBT_6M_30_6'!$S$1:$AE$53"}</definedName>
    <definedName name="ah" hidden="1">{"detail",#N/A,FALSE,"mfg";"summary",#N/A,FALSE,"mfg"}</definedName>
    <definedName name="AHC">#REF!</definedName>
    <definedName name="AHCXBCVREAOLò" hidden="1">{"'BGT2001'!$A$1:$AE$112"}</definedName>
    <definedName name="AHM">#REF!</definedName>
    <definedName name="aho">#REF!</definedName>
    <definedName name="AI">#REF!</definedName>
    <definedName name="AI¿ø3">#REF!</definedName>
    <definedName name="air_compressor">#REF!</definedName>
    <definedName name="AIR_CONDITIONER">#REF!</definedName>
    <definedName name="aircompressor">#REF!</definedName>
    <definedName name="AIRPL">#REF!</definedName>
    <definedName name="AIRPORT">#REF!</definedName>
    <definedName name="aj" hidden="1">{#N/A,#N/A,FALSE,"PMTABB";#N/A,#N/A,FALSE,"PMTABB"}</definedName>
    <definedName name="AJAJA">#REF!</definedName>
    <definedName name="ajay">#REF!</definedName>
    <definedName name="ajd">#N/A</definedName>
    <definedName name="AJG">#REF!</definedName>
    <definedName name="ajj">#REF!</definedName>
    <definedName name="AJKDNFIRNF" hidden="1">{"'I-1 and I-2'!$A$1:$G$190"}</definedName>
    <definedName name="AJXNXJDFJF" hidden="1">{"'OBT_6M_30_6'!$S$1:$AE$53"}</definedName>
    <definedName name="akjhad">#REF!</definedName>
    <definedName name="al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c._consn_sds">#REF!</definedName>
    <definedName name="alc.prodn.">#REF!</definedName>
    <definedName name="Alc.receipt">#REF!</definedName>
    <definedName name="Alc.transper">#REF!</definedName>
    <definedName name="Alc_consn.aa">#REF!</definedName>
    <definedName name="Alc_consn.Ea">#REF!</definedName>
    <definedName name="Alc_recpt.Ea">#REF!</definedName>
    <definedName name="Ald._prodn.">#REF!</definedName>
    <definedName name="Ald._sale">#REF!</definedName>
    <definedName name="Ald_consn.">#REF!</definedName>
    <definedName name="Aldehyde">#REF!</definedName>
    <definedName name="Alerid">#REF!</definedName>
    <definedName name="alex" hidden="1">{#N/A,#N/A,FALSE,"REPORT"}</definedName>
    <definedName name="alexan" hidden="1">{#N/A,#N/A,FALSE,"REPORT"}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">#REF!</definedName>
    <definedName name="ALL_ACCOUNTS">#REF!</definedName>
    <definedName name="All_Division_Names">#REF!</definedName>
    <definedName name="ALL_ENGGVAL">#REF!</definedName>
    <definedName name="All_Foreign_Entites">#REF!</definedName>
    <definedName name="All_Item">#REF!</definedName>
    <definedName name="ALL_SCH">#REF!,#REF!,#REF!,#REF!,#REF!,#REF!,#REF!,#REF!,#REF!</definedName>
    <definedName name="AllCells">#REF!</definedName>
    <definedName name="Alldept_SUM">#REF!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">#REF!</definedName>
    <definedName name="Allsort">#REF!</definedName>
    <definedName name="AllTables">{6}</definedName>
    <definedName name="Alltables2">{2}</definedName>
    <definedName name="AllTables3">{17}</definedName>
    <definedName name="ALM">#REF!</definedName>
    <definedName name="alokmg">#REF!</definedName>
    <definedName name="Alokmgca">#REF!</definedName>
    <definedName name="alp">#REF!</definedName>
    <definedName name="ALPIN">#N/A</definedName>
    <definedName name="ALPJYOU">#N/A</definedName>
    <definedName name="ALPTOI">#N/A</definedName>
    <definedName name="alpuusss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QUILER">#REF!</definedName>
    <definedName name="Alt_Ladder">#REF!</definedName>
    <definedName name="ALTSS">#REF!</definedName>
    <definedName name="ALupro" hidden="1">{"BSSCHA4",#N/A,FALSE,"sch bs"}</definedName>
    <definedName name="ALV_Modul" hidden="1">{"9D",#N/A,FALSE,"9D"}</definedName>
    <definedName name="AM">#REF!</definedName>
    <definedName name="Am_Actual_1Q02">#REF!</definedName>
    <definedName name="am_dist">#REF!</definedName>
    <definedName name="Am_Estimate_Apr18">#REF!</definedName>
    <definedName name="Am_Estimate_Feb18">#REF!</definedName>
    <definedName name="Am_Estimate_Mar20">#REF!</definedName>
    <definedName name="Am_Estimate_May28">#REF!</definedName>
    <definedName name="am_GEC_gpc">#REF!</definedName>
    <definedName name="am_gpc">#REF!</definedName>
    <definedName name="am_mms">#REF!</definedName>
    <definedName name="am_mms_cr">#REF!</definedName>
    <definedName name="am_mms_gpc">#REF!</definedName>
    <definedName name="am_mms_parts">#REF!</definedName>
    <definedName name="Am_Ops">#REF!</definedName>
    <definedName name="am_other">#REF!</definedName>
    <definedName name="am_parts">#REF!</definedName>
    <definedName name="am_prior">#REF!</definedName>
    <definedName name="Am_PSI">#REF!</definedName>
    <definedName name="am_ripwip">#REF!</definedName>
    <definedName name="Am_Target_2Q">#REF!</definedName>
    <definedName name="Aman" hidden="1">{"C COM Detail Qtr of",#N/A,FALSE,"DATA";"D Exp Detail Qtr of",#N/A,FALSE,"DATA"}</definedName>
    <definedName name="AMBL">#REF!</definedName>
    <definedName name="AMC">#REF!</definedName>
    <definedName name="americas">#REF!</definedName>
    <definedName name="Americas_detail_current">#REF!</definedName>
    <definedName name="Americas_detail_current1">#REF!</definedName>
    <definedName name="Americas_sales">#REF!</definedName>
    <definedName name="AMG_AS">#REF!</definedName>
    <definedName name="AMG_PA">#REF!</definedName>
    <definedName name="amiang">#REF!</definedName>
    <definedName name="amit">{"Balance Sheet",#N/A,FALSE,"Balsheet";"Assets Schedule",#N/A,FALSE,"Balsheet";"Abstract",#N/A,FALSE,"Balsheet"}</definedName>
    <definedName name="Amlodipin">#REF!</definedName>
    <definedName name="AMNOI">#REF!</definedName>
    <definedName name="Amor">#REF!</definedName>
    <definedName name="amort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mortion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mortis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AMOUNT">OFFSET(#REF!,0,0,COUNTA(#REF!),COUNTA(#REF!))</definedName>
    <definedName name="AMOUNT_3M">OFFSET(#REF!,0,0,COUNTA(#REF!),1)</definedName>
    <definedName name="Amounts">#REF!</definedName>
    <definedName name="AMPL">#REF!</definedName>
    <definedName name="AMPO">#REF!</definedName>
    <definedName name="AMPO1">#REF!</definedName>
    <definedName name="Amt">#REF!</definedName>
    <definedName name="amtos">#REF!</definedName>
    <definedName name="An">#REF!</definedName>
    <definedName name="añ" hidden="1">{"Performance Details",#N/A,FALSE,"Current Yr";"Performance Details",#N/A,FALSE,"Budget";"Performance Details",#N/A,FALSE,"Prior Year"}</definedName>
    <definedName name="ANAGHAGAA" hidden="1">{"'BGT2001'!$A$1:$AE$112"}</definedName>
    <definedName name="ANAGRAFICA">#REF!</definedName>
    <definedName name="an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VARI" hidden="1">#REF!</definedName>
    <definedName name="ANALYSIS1">#REF!</definedName>
    <definedName name="ANALYSIS2">#REF!</definedName>
    <definedName name="anan" hidden="1">{"page 1",#N/A,FALSE,"A";"page 2",#N/A,FALSE,"A";"page 3",#N/A,FALSE,"A";"page 4",#N/A,FALSE,"A";"page 5",#N/A,FALSE,"A"}</definedName>
    <definedName name="andam" hidden="1">{"'OBT_6M_30_6'!$S$1:$AE$53"}</definedName>
    <definedName name="Andhra">#REF!</definedName>
    <definedName name="andy" hidden="1">{#N/A,#N/A,FALSE,"REPORT"}</definedName>
    <definedName name="anexure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il" hidden="1">{#N/A,#N/A,FALSE,"Aging Summary";#N/A,#N/A,FALSE,"Ratio Analysis";#N/A,#N/A,FALSE,"Test 120 Day Accts";#N/A,#N/A,FALSE,"Tickmarks"}</definedName>
    <definedName name="ankur">#REF!</definedName>
    <definedName name="ANL">#REF!</definedName>
    <definedName name="ANM">#REF!</definedName>
    <definedName name="ann">#REF!</definedName>
    <definedName name="Ann_12">#REF!</definedName>
    <definedName name="Ann_13">#REF!</definedName>
    <definedName name="Ann_16">#REF!</definedName>
    <definedName name="Ann_17">#REF!</definedName>
    <definedName name="Ann_18">#REF!</definedName>
    <definedName name="Ann_4">#REF!</definedName>
    <definedName name="Ann_6">#REF!</definedName>
    <definedName name="Ann1_new">#REF!</definedName>
    <definedName name="Ann13aa" hidden="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ann2AA">#REF!</definedName>
    <definedName name="ann3AA">#REF!</definedName>
    <definedName name="anna">#REF!</definedName>
    <definedName name="annex" hidden="1">{"'Sheet1'!$B$1:$B$2"}</definedName>
    <definedName name="ANNEX_10">#REF!</definedName>
    <definedName name="annex_10_new">#REF!</definedName>
    <definedName name="ANNEX_11">#REF!</definedName>
    <definedName name="annex_11_new">#REF!</definedName>
    <definedName name="ANNEX_12">#REF!</definedName>
    <definedName name="annex_12_new">#REF!</definedName>
    <definedName name="ANNEX_13">#REF!</definedName>
    <definedName name="annex_13_new">#REF!</definedName>
    <definedName name="ANNEX_6">#REF!</definedName>
    <definedName name="annex_6_new">#REF!</definedName>
    <definedName name="ANNEX_7">#REF!</definedName>
    <definedName name="annex_7_new">#REF!</definedName>
    <definedName name="ANNEX_8">#REF!</definedName>
    <definedName name="annex_8_new">#REF!</definedName>
    <definedName name="Annex_new">#REF!</definedName>
    <definedName name="annex1">#REF!</definedName>
    <definedName name="annex1_new">#REF!</definedName>
    <definedName name="annex2">#REF!</definedName>
    <definedName name="annex2b">#REF!</definedName>
    <definedName name="annex3a">#REF!</definedName>
    <definedName name="annex4d">#REF!</definedName>
    <definedName name="annex6">#REF!</definedName>
    <definedName name="ANNEXA">#REF!</definedName>
    <definedName name="ANNEXIII">#REF!</definedName>
    <definedName name="ANNEXIV">#REF!</definedName>
    <definedName name="Annexu">{#N/A,#N/A,FALSE,"COMP"}</definedName>
    <definedName name="ANNEXURE">#REF!</definedName>
    <definedName name="Annexure.add">#REF!</definedName>
    <definedName name="Annexure.add_4">#REF!</definedName>
    <definedName name="annexure_1">#REF!</definedName>
    <definedName name="Annexure_2__Power_consumption_efficiency_variance">#REF!</definedName>
    <definedName name="Annexure_I">#REF!</definedName>
    <definedName name="annexure_new">#REF!</definedName>
    <definedName name="Annexure_to_Schedule">#REF!</definedName>
    <definedName name="ANNEXURE1">#REF!</definedName>
    <definedName name="annexure1a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NNEXURE2">#REF!</definedName>
    <definedName name="AnnexurePART1">#REF!</definedName>
    <definedName name="Annexures">#REF!</definedName>
    <definedName name="AnnexXIII">#REF!</definedName>
    <definedName name="AnnI">#REF!</definedName>
    <definedName name="AnnII">#REF!</definedName>
    <definedName name="AnnIIIa">#REF!</definedName>
    <definedName name="AnnIIIb">#REF!</definedName>
    <definedName name="AnnIIIc">#REF!</definedName>
    <definedName name="AnnIVa">#REF!</definedName>
    <definedName name="AnnIVb">#REF!</definedName>
    <definedName name="AnnIXa">#REF!</definedName>
    <definedName name="AnnIXb">#REF!</definedName>
    <definedName name="AnnIXc">#REF!</definedName>
    <definedName name="annn">#N/A</definedName>
    <definedName name="Annual_Programming_Inflation">#REF!</definedName>
    <definedName name="AnnV">#REF!</definedName>
    <definedName name="AnnVI">#REF!</definedName>
    <definedName name="AnnVIIa">#REF!</definedName>
    <definedName name="AnnVIII">#REF!</definedName>
    <definedName name="AnnX">#REF!</definedName>
    <definedName name="ANNX11">#REF!</definedName>
    <definedName name="ANNX145">#REF!</definedName>
    <definedName name="ANNX15">#REF!</definedName>
    <definedName name="ANNX71">#REF!</definedName>
    <definedName name="AnnXI">#REF!</definedName>
    <definedName name="AnnXIc">#REF!</definedName>
    <definedName name="AnnXIIb">#REF!</definedName>
    <definedName name="AnnXIIc">#REF!</definedName>
    <definedName name="AnnXIV">#REF!</definedName>
    <definedName name="AnnXV">#REF!</definedName>
    <definedName name="AnnXVAFF">#REF!</definedName>
    <definedName name="anpha">#REF!</definedName>
    <definedName name="anscount" hidden="1">1</definedName>
    <definedName name="ANSYS">#REF!</definedName>
    <definedName name="ANSYS_4">#REF!</definedName>
    <definedName name="ANT">#REF!</definedName>
    <definedName name="ant_ae_ex">#REF!</definedName>
    <definedName name="ant_ae_mh">#REF!</definedName>
    <definedName name="ant_ae_mi">#REF!</definedName>
    <definedName name="ant_ae_mlf">#REF!</definedName>
    <definedName name="ant_as_ex">#REF!</definedName>
    <definedName name="ant_as_mh">#REF!</definedName>
    <definedName name="ant_as_mi">#REF!</definedName>
    <definedName name="ant_as_mlf">#REF!</definedName>
    <definedName name="ant_duty">#REF!</definedName>
    <definedName name="ant_enc_ex">#REF!</definedName>
    <definedName name="ant_enc_mh">#REF!</definedName>
    <definedName name="ant_enc_mi">#REF!</definedName>
    <definedName name="ant_enc_mlf">#REF!</definedName>
    <definedName name="Anti_infTotal">#REF!</definedName>
    <definedName name="Antiinf_OTC">#REF!</definedName>
    <definedName name="anwhhs">{"Client Name or Project Name"}</definedName>
    <definedName name="ANZ_CC">#REF!</definedName>
    <definedName name="Ao¿?">#REF!</definedName>
    <definedName name="Ao¿￢">#REF!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LKP">#REF!</definedName>
    <definedName name="aor5k">#REF!</definedName>
    <definedName name="aovapfenbqo">#REF!</definedName>
    <definedName name="AP">#REF!</definedName>
    <definedName name="AP_Concs">#REF!</definedName>
    <definedName name="AP_Delinq">#REF!</definedName>
    <definedName name="AP_PrePay_Detail">#REF!</definedName>
    <definedName name="AP_Spreads">#REF!</definedName>
    <definedName name="aparna">#REF!</definedName>
    <definedName name="API" hidden="1">{#N/A,#N/A,FALSE,"QC REVIEW"}</definedName>
    <definedName name="Apollo">#REF!</definedName>
    <definedName name="app">#REF!</definedName>
    <definedName name="appl">#REF!</definedName>
    <definedName name="Applicable_Model">#REF!</definedName>
    <definedName name="applicable_model_sales">#REF!</definedName>
    <definedName name="APPLICATION">#REF!</definedName>
    <definedName name="approach">#REF!</definedName>
    <definedName name="approvals">#REF!</definedName>
    <definedName name="APPS">#REF!</definedName>
    <definedName name="APPSUSERNAME1">#REF!</definedName>
    <definedName name="APPSUSERNAME2">#REF!</definedName>
    <definedName name="APPSUSERNAME3">#REF!</definedName>
    <definedName name="APQP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98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97_mar98">#REF!</definedName>
    <definedName name="apr98_may99">#REF!</definedName>
    <definedName name="AprEur">#REF!</definedName>
    <definedName name="april">#REF!</definedName>
    <definedName name="aprilcb">#REF!</definedName>
    <definedName name="aprilob">#REF!</definedName>
    <definedName name="Aprmar">#REF!</definedName>
    <definedName name="APRPLAN">#REF!</definedName>
    <definedName name="AprToNov">#REF!</definedName>
    <definedName name="AprToOct">#REF!</definedName>
    <definedName name="AprUSD">#REF!</definedName>
    <definedName name="APSUMMARY">#REF!</definedName>
    <definedName name="aptb">#REF!</definedName>
    <definedName name="APTB0">#REF!</definedName>
    <definedName name="aptbytd">#REF!</definedName>
    <definedName name="aqw" hidden="1">{#N/A,"PURCHM",FALSE,"Business Analysis";#N/A,"SPADD",FALSE,"Business Analysis"}</definedName>
    <definedName name="AR_Availability">#REF!</definedName>
    <definedName name="AR_Concs">#REF!</definedName>
    <definedName name="AR_Delinq">#REF!</definedName>
    <definedName name="AR_Dil_TO">#REF!</definedName>
    <definedName name="AR_EYGS_Dec20">#REF!</definedName>
    <definedName name="AR_EYGS_Feb03">#REF!</definedName>
    <definedName name="AR_EYI__Nov02">#REF!</definedName>
    <definedName name="AR_EYI_Dec20">#REF!</definedName>
    <definedName name="AR_Spreads">#REF!</definedName>
    <definedName name="AR_Testing">#REF!</definedName>
    <definedName name="ARA_Threshold">#REF!</definedName>
    <definedName name="Archit_ACOH">#REF!</definedName>
    <definedName name="ARCHIVO">#REF!</definedName>
    <definedName name="Area">#REF!</definedName>
    <definedName name="area_101">#REF!</definedName>
    <definedName name="AREA_102">#REF!</definedName>
    <definedName name="AREA_103">#REF!</definedName>
    <definedName name="AREA_104">#REF!</definedName>
    <definedName name="AREA_105">#REF!</definedName>
    <definedName name="AREA_106">#REF!</definedName>
    <definedName name="AREA_201">#REF!</definedName>
    <definedName name="AREA_202">#REF!</definedName>
    <definedName name="AREA_203">#REF!</definedName>
    <definedName name="AREA_301">#REF!</definedName>
    <definedName name="AREA_302">#REF!</definedName>
    <definedName name="AREA_303">#REF!</definedName>
    <definedName name="AREA_401">#REF!</definedName>
    <definedName name="AREA_402">#REF!</definedName>
    <definedName name="AREA_CODE">#REF!</definedName>
    <definedName name="area1">#REF!</definedName>
    <definedName name="area2">#REF!</definedName>
    <definedName name="area3">#REF!</definedName>
    <definedName name="Argentina_Ariente">#REF!</definedName>
    <definedName name="Argentina_Arvin">#REF!</definedName>
    <definedName name="Argentina_Basso">#REF!</definedName>
    <definedName name="Argentina_Dema">#REF!</definedName>
    <definedName name="Argentina_Edival">#REF!</definedName>
    <definedName name="Argentina_Emu">#REF!</definedName>
    <definedName name="Argentina_Gestamp">#REF!</definedName>
    <definedName name="Argentina_Guidi">#REF!</definedName>
    <definedName name="Argentina_Ilasa">#REF!</definedName>
    <definedName name="Argentina_MagnettiMarelli">#REF!</definedName>
    <definedName name="Argentina_Matrimet">#REF!</definedName>
    <definedName name="Argentina_MetalurgicaRoma">#REF!</definedName>
    <definedName name="Argentina_Parana">#REF!</definedName>
    <definedName name="Argentina_Roma">#REF!</definedName>
    <definedName name="Argentina_SKF">#REF!</definedName>
    <definedName name="Arial">#REF!</definedName>
    <definedName name="arn">#REF!</definedName>
    <definedName name="ARP_Threshold">#REF!</definedName>
    <definedName name="Arrange">#N/A</definedName>
    <definedName name="array">#REF!</definedName>
    <definedName name="array1">#REF!</definedName>
    <definedName name="Arrearhwcsda">#REF!</definedName>
    <definedName name="Arrival">#REF!</definedName>
    <definedName name="ARS">#REF!</definedName>
    <definedName name="Artroflex_1">#REF!</definedName>
    <definedName name="Artroflex_2">#REF!</definedName>
    <definedName name="arvind">#REF!</definedName>
    <definedName name="as">#REF!</definedName>
    <definedName name="AS_PA">#REF!</definedName>
    <definedName name="AS_PER_KEY_TASK">#REF!</definedName>
    <definedName name="AS2DocOpenMode" hidden="1">"AS2DocumentEdit"</definedName>
    <definedName name="AS2DocOpenMode_1" hidden="1">"AS2DocumentEdit"</definedName>
    <definedName name="AS2HasNoAutoHeaderFooter">"OFF"</definedName>
    <definedName name="AS2NamedRange" hidden="1">16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TickmarkLS1" hidden="1">#REF!</definedName>
    <definedName name="AS2VersionLS" hidden="1">300</definedName>
    <definedName name="asa">#REF!</definedName>
    <definedName name="asaaassd">#N/A</definedName>
    <definedName name="asad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ksjaksjas">#REF!</definedName>
    <definedName name="asas" hidden="1">{#N/A,#N/A,FALSE,"Pharm";#N/A,#N/A,FALSE,"WWCM"}</definedName>
    <definedName name="asasaasas" hidden="1">{"Full view",#N/A,FALSE,"Market view";"Full view",#N/A,FALSE,"Market view"}</definedName>
    <definedName name="asasaassaaqsq" hidden="1">{#N/A,#N/A,TRUE,"pd_SSS";#N/A,#N/A,TRUE,"fo_SSS";#N/A,#N/A,TRUE,"eqpt_SSS";#N/A,#N/A,TRUE,"ftrs_SSS"}</definedName>
    <definedName name="asasas">Scheduled_Payment+Extra_Payment</definedName>
    <definedName name="asasasasasasas" hidden="1">{#N/A,#N/A,TRUE,"pd_SSS";#N/A,#N/A,TRUE,"fo_SSS";#N/A,#N/A,TRUE,"eqpt_SSS";#N/A,#N/A,TRUE,"ftrs_SSS"}</definedName>
    <definedName name="asasd" hidden="1">{"'OBT_6M_30_6'!$S$1:$AE$53"}</definedName>
    <definedName name="ASBL">#REF!</definedName>
    <definedName name="Asc">#REF!</definedName>
    <definedName name="ascasd" hidden="1">{#N/A,#N/A,FALSE,"FFM"}</definedName>
    <definedName name="ASCVBN" hidden="1">{#N/A,#N/A,FALSE,"Tabl. D1";#N/A,#N/A,FALSE,"Tabl. D1 b";#N/A,#N/A,FALSE,"Tabl. D2";#N/A,#N/A,FALSE,"Tabl. D2 b";#N/A,#N/A,FALSE,"Tabl. D3";#N/A,#N/A,FALSE,"Tabl. D4";#N/A,#N/A,FALSE,"Tabl. D5"}</definedName>
    <definedName name="asd" hidden="1">{#N/A,#N/A,FALSE,"FFM"}</definedName>
    <definedName name="asdaasdadasd">#REF!</definedName>
    <definedName name="ASDADASD">#REF!</definedName>
    <definedName name="asdads">#REF!</definedName>
    <definedName name="asdadsa" hidden="1">1</definedName>
    <definedName name="asdafasdfasdf">#REF!</definedName>
    <definedName name="asdas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asdasasdasd">#REF!</definedName>
    <definedName name="asdasd">#REF!</definedName>
    <definedName name="asdasdas" hidden="1">{#N/A,#N/A,FALSE,"FFM"}</definedName>
    <definedName name="asdasdasd" hidden="1">{#N/A,#N/A,FALSE,"FFM"}</definedName>
    <definedName name="asdd">#REF!</definedName>
    <definedName name="asde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hidden="1">{#N/A,#N/A,FALSE,"FFM"}</definedName>
    <definedName name="asdf_2" hidden="1">{#N/A,#N/A,FALSE,"PMTABB";#N/A,#N/A,FALSE,"PMTABB"}</definedName>
    <definedName name="asdf_3" hidden="1">{#N/A,#N/A,FALSE,"PMTABB";#N/A,#N/A,FALSE,"PMTABB"}</definedName>
    <definedName name="asdf_4" hidden="1">{#N/A,#N/A,FALSE,"PMTABB";#N/A,#N/A,FALSE,"PMTABB"}</definedName>
    <definedName name="asdfafasdf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asdfasd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fsedgr">#N/A</definedName>
    <definedName name="asdfesrwerfdsf" hidden="1">#REF!</definedName>
    <definedName name="asdfg" hidden="1">{#N/A,#N/A,FALSE,"Pharm";#N/A,#N/A,FALSE,"WWCM"}</definedName>
    <definedName name="ASDFVG" hidden="1">{"'BGT2001'!$A$1:$AE$112"}</definedName>
    <definedName name="asdgahdfhth" hidden="1">{#N/A,#N/A,FALSE,"REPORT"}</definedName>
    <definedName name="asdgayery" hidden="1">{#N/A,#N/A,FALSE,"Pharm";#N/A,#N/A,FALSE,"WWCM"}</definedName>
    <definedName name="asdgfdytyet" hidden="1">{#N/A,#N/A,FALSE,"REPORT"}</definedName>
    <definedName name="asdgtryukuio" hidden="1">{#N/A,#N/A,FALSE,"REPORT"}</definedName>
    <definedName name="asdjasldkfj" hidden="1">{#N/A,#N/A,FALSE,"PMTABB";#N/A,#N/A,FALSE,"PMTABB"}</definedName>
    <definedName name="asdjasldkfj_1" hidden="1">{#N/A,#N/A,FALSE,"PMTABB";#N/A,#N/A,FALSE,"PMTABB"}</definedName>
    <definedName name="asdjasldkfj_2" hidden="1">{#N/A,#N/A,FALSE,"PMTABB";#N/A,#N/A,FALSE,"PMTABB"}</definedName>
    <definedName name="asdjasldkfj_3" hidden="1">{#N/A,#N/A,FALSE,"PMTABB";#N/A,#N/A,FALSE,"PMTABB"}</definedName>
    <definedName name="asdjasldkfj_4" hidden="1">{#N/A,#N/A,FALSE,"PMTABB";#N/A,#N/A,FALSE,"PMTABB"}</definedName>
    <definedName name="asdjgkl" hidden="1">{#N/A,#N/A,FALSE,"Pharm";#N/A,#N/A,FALSE,"WWCM"}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d" hidden="1">{#N/A,#N/A,FALSE,"COMP"}</definedName>
    <definedName name="asdsaDAd">#REF!</definedName>
    <definedName name="asdsadasd">#N/A</definedName>
    <definedName name="asdsar" hidden="1">{#N/A,#N/A,FALSE,"ISBL"}</definedName>
    <definedName name="asdsar_2" hidden="1">{#N/A,#N/A,FALSE,"ISBL"}</definedName>
    <definedName name="asdsar_3" hidden="1">{#N/A,#N/A,FALSE,"ISBL"}</definedName>
    <definedName name="asdsar_4" hidden="1">{#N/A,#N/A,FALSE,"ISBL"}</definedName>
    <definedName name="asdse" hidden="1">{#N/A,#N/A,FALSE,"Model";#N/A,#N/A,FALSE,"Division"}</definedName>
    <definedName name="asdvnj" hidden="1">{"'OBT_6M_30_6'!$S$1:$AE$53"}</definedName>
    <definedName name="asdw">#REF!</definedName>
    <definedName name="ased">#REF!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fserwe" hidden="1">#REF!</definedName>
    <definedName name="aserwerw34r23" hidden="1">#REF!</definedName>
    <definedName name="aserwerwe" hidden="1">#REF!</definedName>
    <definedName name="as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AS">#N/A</definedName>
    <definedName name="asfasf" hidden="1">{#N/A,#N/A,FALSE,"SUMARIO";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;#N/A,#N/A,FALSE,"D17";#N/A,#N/A,FALSE,"D18";#N/A,#N/A,FALSE,"D19";#N/A,#N/A,FALSE,"D20";#N/A,#N/A,FALSE,"D21";#N/A,#N/A,FALSE,"D22";#N/A,#N/A,FALSE,"DLLS"}</definedName>
    <definedName name="asffghujyki" hidden="1">{#N/A,#N/A,FALSE,"Pharm";#N/A,#N/A,FALSE,"WWCM"}</definedName>
    <definedName name="asfg" hidden="1">{#N/A,#N/A,FALSE,"Balance Sheet";#N/A,#N/A,FALSE,"Income Statement";#N/A,#N/A,FALSE,"Changes in Financial Position"}</definedName>
    <definedName name="asfsdf" hidden="1">{#N/A,#N/A,FALSE,"COMP"}</definedName>
    <definedName name="asfsdg" hidden="1">{#N/A,#N/A,FALSE,"COMP"}</definedName>
    <definedName name="ASG" hidden="1">{"'BGT2001'!$A$1:$AE$112"}</definedName>
    <definedName name="ash" hidden="1">{#N/A,#N/A,TRUE,"Staffnos &amp; cost"}</definedName>
    <definedName name="Ashim" hidden="1">{"C COM Detail Qtr of",#N/A,FALSE,"DATA";"D Exp Detail Qtr of",#N/A,FALSE,"DATA"}</definedName>
    <definedName name="asia">#REF!</definedName>
    <definedName name="Asia_Actual_1Q02">#REF!</definedName>
    <definedName name="Asia_Actual_4Q01">#REF!</definedName>
    <definedName name="asia_col">#REF!</definedName>
    <definedName name="asia_dist">#REF!</definedName>
    <definedName name="Asia_Estimate_Apr18">#REF!</definedName>
    <definedName name="Asia_Estimate_Feb18">#REF!</definedName>
    <definedName name="Asia_Estimate_Mar20">#REF!</definedName>
    <definedName name="Asia_Estimate_Mar7">#REF!</definedName>
    <definedName name="Asia_Estimate_May28">#REF!</definedName>
    <definedName name="asia_gpc">#REF!</definedName>
    <definedName name="Asia_Ops">#REF!</definedName>
    <definedName name="asia_other">#REF!</definedName>
    <definedName name="asia_parts">#REF!</definedName>
    <definedName name="ASIA_PLASTIC_in_KUSD">#REF!</definedName>
    <definedName name="Asia_prior">#REF!</definedName>
    <definedName name="Asia_PSI">#REF!</definedName>
    <definedName name="asia_ripwip">#REF!</definedName>
    <definedName name="Asia_Target_1Q">#REF!</definedName>
    <definedName name="Asia_Target_2Q">#REF!</definedName>
    <definedName name="ASIAIMP">#REF!</definedName>
    <definedName name="ASJMKVNVHFG" hidden="1">{"'BGT2001'!$A$1:$AE$112"}</definedName>
    <definedName name="ask">#REF!</definedName>
    <definedName name="ASKDIER" hidden="1">{"'OBT_6M_30_6'!$S$1:$AE$53"}</definedName>
    <definedName name="ASKRJCOSTS">#REF!</definedName>
    <definedName name="aslsalklksa">#N/A</definedName>
    <definedName name="ASN">#REF!</definedName>
    <definedName name="ASNOI">#REF!</definedName>
    <definedName name="ASP">#REF!</definedName>
    <definedName name="asp_ref">#REF!</definedName>
    <definedName name="Aspacardin">#REF!</definedName>
    <definedName name="ASPL">#REF!</definedName>
    <definedName name="asqq" hidden="1">{"Performance Details",#N/A,FALSE,"Current Yr";"Performance Details",#N/A,FALSE,"Budget";"Performance Details",#N/A,FALSE,"Prior Year"}</definedName>
    <definedName name="ASRG" hidden="1">{"'BGT2001'!$A$1:$AE$112"}</definedName>
    <definedName name="ass">#REF!</definedName>
    <definedName name="ass_cc">#REF!</definedName>
    <definedName name="ASS_POFT">#REF!</definedName>
    <definedName name="ASSA" hidden="1">{#N/A,#N/A,FALSE,"1";#N/A,#N/A,FALSE,"2";#N/A,#N/A,FALSE,"16 - 17";#N/A,#N/A,FALSE,"18 - 19";#N/A,#N/A,FALSE,"26";#N/A,#N/A,FALSE,"27";#N/A,#N/A,FALSE,"28"}</definedName>
    <definedName name="assa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>#N/A</definedName>
    <definedName name="asset">#REF!</definedName>
    <definedName name="Asset_Register">#REF!</definedName>
    <definedName name="Asset_Size">#REF!</definedName>
    <definedName name="ASSETS">#REF!</definedName>
    <definedName name="ASSETS_WRITTEN_OFF___SALE_AS_ON__30_9_2000">#REF!</definedName>
    <definedName name="ASSETS50">#REF!</definedName>
    <definedName name="assets98">#REF!</definedName>
    <definedName name="assets99">#REF!</definedName>
    <definedName name="ASSETSWORKING">#REF!</definedName>
    <definedName name="Assignment_Table">#REF!</definedName>
    <definedName name="assline">#REF!</definedName>
    <definedName name="ASSMPT">#REF!</definedName>
    <definedName name="ASSN1">#REF!</definedName>
    <definedName name="ASSN10">#REF!</definedName>
    <definedName name="ASSN4">#REF!</definedName>
    <definedName name="ASSN5">#REF!</definedName>
    <definedName name="ASSN6">#REF!</definedName>
    <definedName name="ASSN7">#REF!</definedName>
    <definedName name="ASSN8">#REF!</definedName>
    <definedName name="ASSN9">#REF!</definedName>
    <definedName name="ASSSSSS" hidden="1">{"'OBT_6M_30_6'!$S$1:$AE$53"}</definedName>
    <definedName name="AsstYr">#REF!</definedName>
    <definedName name="ASSUMP">#REF!</definedName>
    <definedName name="ASSUMPTION">#REF!</definedName>
    <definedName name="Assumptions_Network">#REF!</definedName>
    <definedName name="assumptions_print">#REF!</definedName>
    <definedName name="ASSY_207">#REF!</definedName>
    <definedName name="astd" hidden="1">{#N/A,#N/A,FALSE,"Aging Summary";#N/A,#N/A,FALSE,"Ratio Analysis";#N/A,#N/A,FALSE,"Test 120 Day Accts";#N/A,#N/A,FALSE,"Tickmarks"}</definedName>
    <definedName name="aswe" hidden="1">{"TXO2N2_GP",#N/A,FALSE,"MTHLYGP";"TXH2_GP",#N/A,FALSE,"MTHLYGP";"LOUIS_GP",#N/A,FALSE,"MTHLYGP";"H2_GP",#N/A,FALSE,"MTHLYGP";"O2N2_GP",#N/A,FALSE,"MTHLYGP";"PACKAGE_GP",#N/A,FALSE,"MTHLYGP";"OTHER_GP",#N/A,FALSE,"MTHLYGP"}</definedName>
    <definedName name="aswini">#REF!</definedName>
    <definedName name="asxsx">#REF!</definedName>
    <definedName name="ati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torva_crys">#REF!</definedName>
    <definedName name="attach1">#REF!</definedName>
    <definedName name="attach13">#REF!</definedName>
    <definedName name="attach14">#REF!</definedName>
    <definedName name="attach15">#REF!</definedName>
    <definedName name="attach1a">#REF!</definedName>
    <definedName name="attach9">#REF!</definedName>
    <definedName name="Attachment">#REF!</definedName>
    <definedName name="ATTEND">#REF!</definedName>
    <definedName name="ATTENTION">#REF!</definedName>
    <definedName name="AU">#REF!</definedName>
    <definedName name="AUBL">#REF!</definedName>
    <definedName name="AUDIO_VIDEO_ACCESSORIES">#REF!</definedName>
    <definedName name="AUDIO_VIDEO_EQUIPMENT">#REF!</definedName>
    <definedName name="AUDIT" hidden="1">{"'Sheet1'!$A$2:$F$69"}</definedName>
    <definedName name="AuditFees">#REF!</definedName>
    <definedName name="Auditing_and_accounitng_issues">#REF!</definedName>
    <definedName name="AUG">#REF!</definedName>
    <definedName name="AugEur">#REF!</definedName>
    <definedName name="Augopex">#REF!</definedName>
    <definedName name="AUGPLAN">#REF!</definedName>
    <definedName name="augpy">#REF!</definedName>
    <definedName name="AugUSD">#REF!</definedName>
    <definedName name="august">#REF!</definedName>
    <definedName name="AUNOI">#REF!</definedName>
    <definedName name="AUPL">#REF!</definedName>
    <definedName name="AURABOOKMARK59">#REF!</definedName>
    <definedName name="AUS.___23">#REF!</definedName>
    <definedName name="AUS.___24">#REF!</definedName>
    <definedName name="AUS.___25">#REF!</definedName>
    <definedName name="AUS.___36">#REF!</definedName>
    <definedName name="AUS__REC">#REF!</definedName>
    <definedName name="Aus_to_Aus">#REF!</definedName>
    <definedName name="AUST">#REF!</definedName>
    <definedName name="AUSTRALIA">#REF!</definedName>
    <definedName name="Austria">#REF!</definedName>
    <definedName name="aut">#REF!</definedName>
    <definedName name="autoexec">#REF!</definedName>
    <definedName name="AutoFinancing">#REF!</definedName>
    <definedName name="AutoLease">#REF!</definedName>
    <definedName name="AutoLease2">#REF!</definedName>
    <definedName name="Autres">#REF!</definedName>
    <definedName name="Autresachats">#REF!</definedName>
    <definedName name="AUV">#REF!</definedName>
    <definedName name="AUXIL">#REF!</definedName>
    <definedName name="AUXILREAL">#REF!</definedName>
    <definedName name="AV">#REF!</definedName>
    <definedName name="AV_SOFTWARE">#REF!</definedName>
    <definedName name="Availability">#REF!</definedName>
    <definedName name="avg">#REF!</definedName>
    <definedName name="AVGINR">#REF!</definedName>
    <definedName name="avgot">#REF!</definedName>
    <definedName name="avgratesep">#REF!</definedName>
    <definedName name="aw4wb" hidden="1">{#N/A,#N/A,FALSE,"ISBL"}</definedName>
    <definedName name="aw4wb_2" hidden="1">{#N/A,#N/A,FALSE,"ISBL"}</definedName>
    <definedName name="aw4wb_3" hidden="1">{#N/A,#N/A,FALSE,"ISBL"}</definedName>
    <definedName name="aw4wb_4" hidden="1">{#N/A,#N/A,FALSE,"ISBL"}</definedName>
    <definedName name="awe" hidden="1">{#N/A,#N/A,FALSE,"FFM"}</definedName>
    <definedName name="awe_2" hidden="1">{#N/A,#N/A,FALSE,"PGW"}</definedName>
    <definedName name="awe_3" hidden="1">{#N/A,#N/A,FALSE,"PGW"}</definedName>
    <definedName name="awe_4" hidden="1">{#N/A,#N/A,FALSE,"PGW"}</definedName>
    <definedName name="aweaw3" hidden="1">{#N/A,#N/A,FALSE,"OSBL"}</definedName>
    <definedName name="aweaw3_2" hidden="1">{#N/A,#N/A,FALSE,"OSBL"}</definedName>
    <definedName name="aweaw3_3" hidden="1">{#N/A,#N/A,FALSE,"OSBL"}</definedName>
    <definedName name="aweaw3_4" hidden="1">{#N/A,#N/A,FALSE,"OSBL"}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ws">#REF!</definedName>
    <definedName name="awser" hidden="1">{#N/A,#N/A,FALSE,"Aging Summary";#N/A,#N/A,FALSE,"Ratio Analysis";#N/A,#N/A,FALSE,"Test 120 Day Accts";#N/A,#N/A,FALSE,"Tickmarks"}</definedName>
    <definedName name="AWZ">#REF!</definedName>
    <definedName name="AX" hidden="1">{#N/A,#N/A,FALSE,"Pharm";#N/A,#N/A,FALSE,"WWCM"}</definedName>
    <definedName name="AXCHUT" hidden="1">{#N/A,#N/A,FALSE,"Tabl. H1";#N/A,#N/A,FALSE,"Tabl. H2"}</definedName>
    <definedName name="axedoc">#REF!</definedName>
    <definedName name="axs" hidden="1">{"QTD",#N/A,FALSE,"SUM"}</definedName>
    <definedName name="axz" hidden="1">{#N/A,"PURCHM",FALSE,"Business Analysis";#N/A,"SPADD",FALSE,"Business Analysis"}</definedName>
    <definedName name="AY">#REF!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yz" hidden="1">{#N/A,#N/A,TRUE,"Sheet1"}</definedName>
    <definedName name="az" hidden="1">{#N/A,#N/A,FALSE,"Pharm";#N/A,#N/A,FALSE,"WWCM"}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AZXC" hidden="1">{#N/A,#N/A,FALSE,"Tabl. H1";#N/A,#N/A,FALSE,"Tabl. H2"}</definedName>
    <definedName name="b">#REF!</definedName>
    <definedName name="B.6_22">#REF!</definedName>
    <definedName name="b.6_30">#REF!</definedName>
    <definedName name="b.6_31">#REF!</definedName>
    <definedName name="b.6_32">#REF!</definedName>
    <definedName name="b.6_33">#REF!</definedName>
    <definedName name="b.6_34">#REF!</definedName>
    <definedName name="b.6_40">#REF!</definedName>
    <definedName name="b.6_50">#REF!</definedName>
    <definedName name="b.6_51">#REF!</definedName>
    <definedName name="b.6_52">#REF!</definedName>
    <definedName name="b.6_53">#REF!</definedName>
    <definedName name="b.6_54">#REF!</definedName>
    <definedName name="b.6_55">#REF!</definedName>
    <definedName name="B_04">#REF!</definedName>
    <definedName name="b_1" hidden="1">{#N/A,#N/A,FALSE,"PMTABB";#N/A,#N/A,FALSE,"PMTABB"}</definedName>
    <definedName name="b_2" hidden="1">{#N/A,#N/A,FALSE,"PMTABB";#N/A,#N/A,FALSE,"PMTABB"}</definedName>
    <definedName name="b_3" hidden="1">{#N/A,#N/A,FALSE,"PMTABB";#N/A,#N/A,FALSE,"PMTABB"}</definedName>
    <definedName name="b_4" hidden="1">{#N/A,#N/A,FALSE,"PMTABB";#N/A,#N/A,FALSE,"PMTABB"}</definedName>
    <definedName name="B_C">#REF!</definedName>
    <definedName name="B_M">#REF!</definedName>
    <definedName name="B_S95">#REF!</definedName>
    <definedName name="B_T">#REF!</definedName>
    <definedName name="B_VND">0.05</definedName>
    <definedName name="B_YEN">0.1</definedName>
    <definedName name="B10.DedFromUndertaking">#REF!</definedName>
    <definedName name="b23RTDKDK">#REF!</definedName>
    <definedName name="B6_ACTUAL22">#REF!</definedName>
    <definedName name="b6_actual30">#REF!</definedName>
    <definedName name="b6_Actual31">#REF!</definedName>
    <definedName name="b6_actual32">#REF!</definedName>
    <definedName name="b6_actual33">#REF!</definedName>
    <definedName name="b6_actual34">#REF!</definedName>
    <definedName name="b6_actual40">#REF!</definedName>
    <definedName name="b6_actual50">#REF!</definedName>
    <definedName name="b6_actual51">#REF!</definedName>
    <definedName name="b6_actual52">#REF!</definedName>
    <definedName name="b6_actual53">#REF!</definedName>
    <definedName name="b6_actual54">#REF!</definedName>
    <definedName name="b6_actual55">#REF!</definedName>
    <definedName name="BA10.DedFromUndertaking">#REF!</definedName>
    <definedName name="Baa" hidden="1">{#N/A,#N/A,FALSE,"COVER1.XLS ";#N/A,#N/A,FALSE,"RACT1.XLS";#N/A,#N/A,FALSE,"RACT2.XLS";#N/A,#N/A,FALSE,"ECCMP";#N/A,#N/A,FALSE,"WELDER.XLS"}</definedName>
    <definedName name="Babc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ab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abu" hidden="1">{#N/A,#N/A,FALSE,"COMP"}</definedName>
    <definedName name="baby">#REF!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ch">#REF!</definedName>
    <definedName name="BACK">#REF!</definedName>
    <definedName name="Back_1">#REF!</definedName>
    <definedName name="Back_2">#REF!</definedName>
    <definedName name="Back_3">#REF!</definedName>
    <definedName name="Back_4">#REF!</definedName>
    <definedName name="Back_5">#REF!</definedName>
    <definedName name="Back_Solve_Original">#REF!</definedName>
    <definedName name="Back_solve_selector">#REF!</definedName>
    <definedName name="Back_solve_Target">#REF!</definedName>
    <definedName name="Back17">#REF!</definedName>
    <definedName name="Back18">#REF!</definedName>
    <definedName name="back3">#REF!</definedName>
    <definedName name="Badfrs" hidden="1">{#N/A,#N/A,FALSE,"COVER.XLS";#N/A,#N/A,FALSE,"RACT1.XLS";#N/A,#N/A,FALSE,"RACT2.XLS";#N/A,#N/A,FALSE,"ECCMP";#N/A,#N/A,FALSE,"WELDER.XLS"}</definedName>
    <definedName name="Badv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AGS">#REF!</definedName>
    <definedName name="Bal">#REF!</definedName>
    <definedName name="BAL_98">#REF!</definedName>
    <definedName name="bal_det">#REF!</definedName>
    <definedName name="BALA">#REF!</definedName>
    <definedName name="balance">#REF!</definedName>
    <definedName name="BALANCE_FINAL">#REF!</definedName>
    <definedName name="Balance_Residual_life">#REF!</definedName>
    <definedName name="Balance_Sheet">#REF!</definedName>
    <definedName name="BALANCESH">Scheduled_Payment+Extra_Payment</definedName>
    <definedName name="balancesheet">#REF!</definedName>
    <definedName name="BALANCESHEETGROUPING">#REF!</definedName>
    <definedName name="BALC3">#REF!</definedName>
    <definedName name="BalFY12">#REF!</definedName>
    <definedName name="BalFY13">#REF!</definedName>
    <definedName name="balg1">#REF!</definedName>
    <definedName name="balg2">#REF!</definedName>
    <definedName name="balg3">#REF!</definedName>
    <definedName name="BalSheet">#REF!</definedName>
    <definedName name="BalSheet_Group_Sub">#REF!</definedName>
    <definedName name="Balsht_B">#REF!</definedName>
    <definedName name="Balsht_F">#REF!</definedName>
    <definedName name="Balsht_G">#REF!</definedName>
    <definedName name="Balsht_N">#REF!</definedName>
    <definedName name="Balsht_T">#REF!</definedName>
    <definedName name="ban">#REF!</definedName>
    <definedName name="BANERSO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alore">#REF!</definedName>
    <definedName name="BangaloreSheet5">#REF!</definedName>
    <definedName name="bangtinh">#REF!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BALANCE_In_Current_Accounts">#REF!</definedName>
    <definedName name="BANK_BALANCE_In_Fixed_Deposits">#REF!</definedName>
    <definedName name="BANK_BALANCE_In_Share_Issue_Allotment_Acct">#REF!</definedName>
    <definedName name="BANK_BALANCE_In_Share_Issue_Refund_Account">#REF!</definedName>
    <definedName name="BANK_PRODN">#REF!</definedName>
    <definedName name="BANK_STK">#REF!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charges">#REF!</definedName>
    <definedName name="banks">#REF!</definedName>
    <definedName name="BarData">#REF!</definedName>
    <definedName name="base">1</definedName>
    <definedName name="base_Capital_expenditure_to_sales">#REF!</definedName>
    <definedName name="Base_Data_Input_Page">#REF!</definedName>
    <definedName name="base_EBITDA_margin">#REF!</definedName>
    <definedName name="base_Sales_growth">#REF!</definedName>
    <definedName name="base_Tax_rate">#REF!</definedName>
    <definedName name="base_WACC">#REF!</definedName>
    <definedName name="base_Working_capital_to_sales">#REF!</definedName>
    <definedName name="BASE2">#REF!</definedName>
    <definedName name="BASEB">#REF!</definedName>
    <definedName name="BASEBAL">#REF!</definedName>
    <definedName name="BASECAR">#REF!</definedName>
    <definedName name="BaselinePeriod">#REF!</definedName>
    <definedName name="BASEM">#REF!</definedName>
    <definedName name="BASER">#REF!</definedName>
    <definedName name="BaseRevEbitMarginPct">#REF!</definedName>
    <definedName name="BaseRevPriceInc">#REF!</definedName>
    <definedName name="BaseRevVolInc">#REF!</definedName>
    <definedName name="BASETOT">#REF!</definedName>
    <definedName name="BASEU">#REF!</definedName>
    <definedName name="BaseYear">#REF!</definedName>
    <definedName name="Basic_recovery">#REF!</definedName>
    <definedName name="BasicSalaries">#REF!</definedName>
    <definedName name="Basis_order_book">#REF!</definedName>
    <definedName name="basisvalue1">#REF!</definedName>
    <definedName name="BATCH_VOLUME">#REF!</definedName>
    <definedName name="bats" hidden="1">{"page 1",#N/A,FALSE,"A";"page 2",#N/A,FALSE,"A";"page 3",#N/A,FALSE,"A";"page 4",#N/A,FALSE,"A";"page 5",#N/A,FALSE,"A"}</definedName>
    <definedName name="BAY.3" hidden="1">{#N/A,#N/A,FALSE,"QC REVIEW"}</definedName>
    <definedName name="BB">#REF!</definedName>
    <definedName name="bb.gb._98" hidden="1">{#N/A,#N/A,FALSE,"Umsatz 99";#N/A,#N/A,FALSE,"ER 99 "}</definedName>
    <definedName name="bb.gb._99" hidden="1">{#N/A,#N/A,FALSE,"Umsatz 99";#N/A,#N/A,FALSE,"ER 99 "}</definedName>
    <definedName name="BBAR">#REF!</definedName>
    <definedName name="BBAR1">#REF!</definedName>
    <definedName name="bbb">#REF!</definedName>
    <definedName name="bbb_new">#REF!</definedName>
    <definedName name="Bbb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bb" hidden="1">{#N/A,#N/A,FALSE,"REPORT"}</definedName>
    <definedName name="bbbbb" hidden="1">{#N/A,#N/A,FALSE,"Pharm";#N/A,#N/A,FALSE,"WWCM"}</definedName>
    <definedName name="BBBBBB" hidden="1">{#N/A,#N/A,FALSE,"REPORT"}</definedName>
    <definedName name="bbbbbbb" hidden="1">{"detail",#N/A,FALSE,"mfg";"summary",#N/A,FALSE,"mfg"}</definedName>
    <definedName name="bbbbbbbb">#REF!</definedName>
    <definedName name="bbbbbbbb_17">#REF!</definedName>
    <definedName name="bbbbbbbb_4">#REF!</definedName>
    <definedName name="BBBBBBBBB" hidden="1">{#N/A,#N/A,FALSE,"REPORT"}</definedName>
    <definedName name="bbbbbbbbbb" hidden="1">{"detail",#N/A,FALSE,"mfg";"summary",#N/A,FALSE,"mfg"}</definedName>
    <definedName name="bbbbbbbbbbbbb" hidden="1">{#N/A,#N/A,FALSE,"Pharm";#N/A,#N/A,FALSE,"WWCM"}</definedName>
    <definedName name="bbbbbbbbbbbbbbbbbbbb" hidden="1">{"detail",#N/A,FALSE,"mfg";"summary",#N/A,FALSE,"mfg"}</definedName>
    <definedName name="BBData">#REF!</definedName>
    <definedName name="bbh">#REF!</definedName>
    <definedName name="BBINV">#REF!</definedName>
    <definedName name="BBINV1">#REF!</definedName>
    <definedName name="BBRA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btog">#REF!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BY">#REF!</definedName>
    <definedName name="bc">#REF!</definedName>
    <definedName name="BCCODE">#REF!</definedName>
    <definedName name="BCCREDIT">#REF!</definedName>
    <definedName name="bcd">#REF!</definedName>
    <definedName name="BCDEBIT">#REF!</definedName>
    <definedName name="BCH">#REF!</definedName>
    <definedName name="Bcklog2">#REF!</definedName>
    <definedName name="bcos_ae_ex">#REF!</definedName>
    <definedName name="bcos_ae_mh">#REF!</definedName>
    <definedName name="bcos_ae_mi">#REF!</definedName>
    <definedName name="bcos_ae_mlf">#REF!</definedName>
    <definedName name="bcos_as_ex">#REF!</definedName>
    <definedName name="bcos_as_mh">#REF!</definedName>
    <definedName name="bcos_as_mi">#REF!</definedName>
    <definedName name="bcos_as_mlf">#REF!</definedName>
    <definedName name="bcos_enc_ex">#REF!</definedName>
    <definedName name="bcos_enc_mh">#REF!</definedName>
    <definedName name="bcos_enc_mi">#REF!</definedName>
    <definedName name="bcos_enc_mlf">#REF!</definedName>
    <definedName name="BCPI_">#REF!</definedName>
    <definedName name="BCR_TOP">#REF!</definedName>
    <definedName name="bcurr">#REF!</definedName>
    <definedName name="bd" hidden="1">{"'BGT2001'!$A$1:$AE$112"}</definedName>
    <definedName name="BD_PLCodeView">#REF!</definedName>
    <definedName name="BDBL">#REF!</definedName>
    <definedName name="bdbl123">#REF!</definedName>
    <definedName name="BDNOI">#REF!</definedName>
    <definedName name="BDPL">#REF!</definedName>
    <definedName name="BE_mapp_tble">OFFSET(#REF!,0,0,COUNTA(#REF!),5)</definedName>
    <definedName name="Beachwood" hidden="1">{"p",#N/A,FALSE,"Sheet1";"p 2",#N/A,FALSE,"Sheet1";"p 3",#N/A,FALSE,"Sheet1"}</definedName>
    <definedName name="Beachwood_1" hidden="1">{"p",#N/A,FALSE,"Sheet1";"p 2",#N/A,FALSE,"Sheet1";"p 3",#N/A,FALSE,"Sheet1"}</definedName>
    <definedName name="BEAR2">#REF!</definedName>
    <definedName name="BEAS">#REF!</definedName>
    <definedName name="bef_nlg">#REF!</definedName>
    <definedName name="Beg_Bal">#REF!</definedName>
    <definedName name="BEGIN">#REF!</definedName>
    <definedName name="BEI">#REF!</definedName>
    <definedName name="BEI_AUG">#REF!</definedName>
    <definedName name="bek">#REF!</definedName>
    <definedName name="Belgium">#REF!</definedName>
    <definedName name="BENEFIT">#REF!</definedName>
    <definedName name="Benefits_Realized">#REF!</definedName>
    <definedName name="bentonite">#REF!</definedName>
    <definedName name="BEP">#REF!</definedName>
    <definedName name="BEPEP">#REF!</definedName>
    <definedName name="BEPISDG">#REF!</definedName>
    <definedName name="BEPISDM">#REF!</definedName>
    <definedName name="berDescription">#REF!</definedName>
    <definedName name="BerlinDuty5">#REF!</definedName>
    <definedName name="BerlinDuty7">#REF!</definedName>
    <definedName name="BerlinDuty8">#REF!</definedName>
    <definedName name="BerlinStock5">#REF!</definedName>
    <definedName name="BerlinStock7">#REF!</definedName>
    <definedName name="BerlinStock8">#REF!</definedName>
    <definedName name="BerlinVAT5">#REF!</definedName>
    <definedName name="BerlinVAT7">#REF!</definedName>
    <definedName name="BerlinVAT8">#REF!</definedName>
    <definedName name="bery\">#REF!</definedName>
    <definedName name="BES">#REF!</definedName>
    <definedName name="BES_AUG">#REF!</definedName>
    <definedName name="Besoin_véh_J">#REF!</definedName>
    <definedName name="beta">#REF!</definedName>
    <definedName name="beta_account_list">OFFSET(#REF!,1,0,COUNTA(#REF!)-1,1)</definedName>
    <definedName name="beta_CE">#N/A</definedName>
    <definedName name="beta_total">#N/A</definedName>
    <definedName name="Beurteilung">#REF!</definedName>
    <definedName name="Beurteilung_16">#REF!</definedName>
    <definedName name="Beurteilung_17">#REF!</definedName>
    <definedName name="Beurteilung_4">#REF!</definedName>
    <definedName name="BEV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Pivot_Changeover">#REF!</definedName>
    <definedName name="BFPivot_Current">#REF!</definedName>
    <definedName name="BFPivot_Prior">#REF!</definedName>
    <definedName name="BFS">#REF!</definedName>
    <definedName name="bfstat">#REF!</definedName>
    <definedName name="BG">#N/A</definedName>
    <definedName name="BG_Del" hidden="1">15</definedName>
    <definedName name="BG_Ins" hidden="1">4</definedName>
    <definedName name="BG_Mod" hidden="1">6</definedName>
    <definedName name="bgbgbg">#REF!</definedName>
    <definedName name="BGFB">#REF!</definedName>
    <definedName name="bgh" hidden="1">{"histincome",#N/A,FALSE,"hyfins";"closing balance",#N/A,FALSE,"hyfins"}</definedName>
    <definedName name="BGXCBCVBCVB">#REF!</definedName>
    <definedName name="bh">#REF!</definedName>
    <definedName name="BHAG">#REF!</definedName>
    <definedName name="BHDD">#REF!</definedName>
    <definedName name="BHDFH" hidden="1">{TRUE,TRUE,-1.25,-15.5,484.5,255,FALSE,FALSE,TRUE,FALSE,0,2,16,1,6,13,5,4,TRUE,TRUE,3,TRUE,1,TRUE,75,"Swvu.A.","ACwvu.A.",#N/A,FALSE,FALSE,0.2,0.22,1,0.641,2,"&amp;L&amp;""Arial,Bold""&amp;11Essar Projects LimitedEOL Refinery Project&amp;C&amp;""Arial,Bold""&amp;14TOTAL REFINERY PROJECTREFINERY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iwandi">#REF!</definedName>
    <definedName name="BHP">#REF!</definedName>
    <definedName name="bhst">#REF!</definedName>
    <definedName name="BHUIOP">#REF!</definedName>
    <definedName name="bhushan">#REF!</definedName>
    <definedName name="BHUVAN" hidden="1">{"'subnets'!$A$1:$F$20"}</definedName>
    <definedName name="BI">#REF!</definedName>
    <definedName name="BIF_0BP211_0211A_CU1">#REF!</definedName>
    <definedName name="BIF_BP0211_0211A_CU2">#REF!</definedName>
    <definedName name="big">#REF!</definedName>
    <definedName name="Bihar">#REF!</definedName>
    <definedName name="bijalpur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bil" hidden="1">{#N/A,#N/A,FALSE,"Tabl. D1";#N/A,#N/A,FALSE,"Tabl. D1 b";#N/A,#N/A,FALSE,"Tabl. D2";#N/A,#N/A,FALSE,"Tabl. D2 b";#N/A,#N/A,FALSE,"Tabl. D3";#N/A,#N/A,FALSE,"Tabl. D4";#N/A,#N/A,FALSE,"Tabl. D5"}</definedName>
    <definedName name="Bilanz">#REF!</definedName>
    <definedName name="bill_prod">#REF!</definedName>
    <definedName name="BILLABLE">#REF!</definedName>
    <definedName name="Billable_Hours_for_IBS">#REF!</definedName>
    <definedName name="Billing">#REF!</definedName>
    <definedName name="BILLING_RATE">#REF!</definedName>
    <definedName name="BillMkt1">#REF!</definedName>
    <definedName name="BillMkt10">#REF!</definedName>
    <definedName name="BillMkt11">#REF!</definedName>
    <definedName name="BillMkt2">#REF!</definedName>
    <definedName name="BillMkt3">#REF!</definedName>
    <definedName name="BillMkt4">#REF!</definedName>
    <definedName name="BillMkt5">#REF!</definedName>
    <definedName name="BillMkt6">#REF!</definedName>
    <definedName name="BillMkt7">#REF!</definedName>
    <definedName name="BillMkt8">#REF!</definedName>
    <definedName name="BillMkt9">#REF!</definedName>
    <definedName name="Billsdiscounted">#REF!</definedName>
    <definedName name="BillTtl">#REF!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ogas">#REF!</definedName>
    <definedName name="BIP">#REF!</definedName>
    <definedName name="Bipul2" hidden="1">{"A COM Detail YTD",#N/A,FALSE,"DATA";"B Exp Detail YTD",#N/A,FALSE,"DATA"}</definedName>
    <definedName name="Birla">#REF!</definedName>
    <definedName name="bis" hidden="1">#REF!</definedName>
    <definedName name="BIT">#REF!</definedName>
    <definedName name="BJ">#REF!</definedName>
    <definedName name="bjcdbw" hidden="1">{"'August 2000'!$A$1:$J$101"}</definedName>
    <definedName name="BK">#REF!</definedName>
    <definedName name="bkbal1">#REF!</definedName>
    <definedName name="bkbal2">#REF!</definedName>
    <definedName name="BKCT">#REF!</definedName>
    <definedName name="BkgDB">#REF!</definedName>
    <definedName name="bklg_ref">#REF!</definedName>
    <definedName name="bkls" hidden="1">{#N/A,"PURCHM",FALSE,"Business Analysis";#N/A,"SPADD",FALSE,"Business Analysis"}</definedName>
    <definedName name="bkod">#REF!</definedName>
    <definedName name="BKR">#REF!</definedName>
    <definedName name="bl">#REF!</definedName>
    <definedName name="blabla" hidden="1">{#N/A,#N/A,FALSE,"Tabl. H1";#N/A,#N/A,FALSE,"Tabl. H2"}</definedName>
    <definedName name="BLACK___DECKER">#REF!</definedName>
    <definedName name="blaise" hidden="1">{"page 1",#N/A,FALSE,"A";"page 2",#N/A,FALSE,"A";"page 3",#N/A,FALSE,"A";"page 4",#N/A,FALSE,"A";"page 5",#N/A,FALSE,"A"}</definedName>
    <definedName name="BLAISE__KV_AR_TOTAL_AMOUNT_TAX_item">#REF!</definedName>
    <definedName name="blang">#REF!</definedName>
    <definedName name="BLDG">#REF!</definedName>
    <definedName name="BLDPR">#REF!</definedName>
    <definedName name="blnHideRow">#N/A</definedName>
    <definedName name="BLOCK1">#REF!</definedName>
    <definedName name="BLOCK2">#REF!</definedName>
    <definedName name="BLOCK3">#REF!</definedName>
    <definedName name="blog">#REF!</definedName>
    <definedName name="blong">#REF!</definedName>
    <definedName name="BloodorgansTotal">#REF!</definedName>
    <definedName name="Blower_Asy_Heater">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LR80IA">#N/A</definedName>
    <definedName name="BM">#REF!</definedName>
    <definedName name="Bma">#REF!</definedName>
    <definedName name="bmbnmn" hidden="1">{#N/A,#N/A,FALSE,"KA CH  (2)"}</definedName>
    <definedName name="BmBt">#REF!</definedName>
    <definedName name="BML">#REF!</definedName>
    <definedName name="BMS">#REF!</definedName>
    <definedName name="BMSeed">#REF!</definedName>
    <definedName name="bn" hidden="1">{"A Performance Report",#N/A,FALSE,"%Performance"}</definedName>
    <definedName name="BÑ">#REF!</definedName>
    <definedName name="bnbn" hidden="1">{"oct_res_comm",#N/A,FALSE,"VarToBud"}</definedName>
    <definedName name="BNE_MESSAGES_HIDDEN" hidden="1">#REF!</definedName>
    <definedName name="BNGF" hidden="1">{#N/A,#N/A,FALSE,"FINAL"}</definedName>
    <definedName name="BNIU">#REF!</definedName>
    <definedName name="bnm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n" hidden="1">{"consolidated",#N/A,FALSE,"Sheet1";"cms",#N/A,FALSE,"Sheet1";"fse",#N/A,FALSE,"Sheet1"}</definedName>
    <definedName name="bnuyy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b_bda">#REF!</definedName>
    <definedName name="BOB_P_M">#REF!</definedName>
    <definedName name="BOBCASH">#REF!</definedName>
    <definedName name="bobcay">#REF!</definedName>
    <definedName name="bobfee">#REF!</definedName>
    <definedName name="BOD">#REF!</definedName>
    <definedName name="BOD_BS" hidden="1">{"'debtors'!$A$1:$I$305","'debtors'!$A$1:$J$285"}</definedName>
    <definedName name="BOD_CEIP">#REF!</definedName>
    <definedName name="BOD_OEQP">#REF!</definedName>
    <definedName name="BOG">#REF!</definedName>
    <definedName name="BOH_TOTAL">#N/A</definedName>
    <definedName name="BOH_UC">#N/A</definedName>
    <definedName name="BOHAMT">#N/A</definedName>
    <definedName name="BOHQTY">#N/A</definedName>
    <definedName name="bolt">#REF!</definedName>
    <definedName name="bombay">#REF!</definedName>
    <definedName name="BONIF">#REF!</definedName>
    <definedName name="Bonus">#REF!</definedName>
    <definedName name="bonus_1">#REF!</definedName>
    <definedName name="Book">#REF!</definedName>
    <definedName name="Book_st_31_3_2001">#REF!</definedName>
    <definedName name="book1">#REF!</definedName>
    <definedName name="book2">#REF!</definedName>
    <definedName name="bookdepr">#REF!</definedName>
    <definedName name="bookprofitcalmar98">#REF!</definedName>
    <definedName name="Books">#REF!</definedName>
    <definedName name="BOQ">#REF!</definedName>
    <definedName name="BORBSGR">#REF!</definedName>
    <definedName name="BORDERKostenstelle">#REF!</definedName>
    <definedName name="BORPLGR">#REF!</definedName>
    <definedName name="BORSEC">#REF!</definedName>
    <definedName name="BORSEC1">#REF!</definedName>
    <definedName name="BORTB">#REF!</definedName>
    <definedName name="BOS">#N/A</definedName>
    <definedName name="BOSCH">Scheduled_Payment+Extra_Payment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ottles_IU_Detail">#REF!</definedName>
    <definedName name="boxes">#REF!,#REF!</definedName>
    <definedName name="BP_02_JUL_02">#REF!</definedName>
    <definedName name="bp_jul_02_Without_Matching_tot_cust_Jul02">#REF!</definedName>
    <definedName name="bpstat">#REF!</definedName>
    <definedName name="BPT">#REF!</definedName>
    <definedName name="BPT_AUG">#REF!</definedName>
    <definedName name="br" hidden="1">{"oct_res_comm",#N/A,FALSE,"VarToBud"}</definedName>
    <definedName name="BRAH">#REF!</definedName>
    <definedName name="BRanch__Sales___Aug">#REF!</definedName>
    <definedName name="BRANCHES">#REF!</definedName>
    <definedName name="BRANDS">#REF!</definedName>
    <definedName name="Brazil_Acotecnica">#REF!</definedName>
    <definedName name="Brazil_Aethra">#REF!</definedName>
    <definedName name="Brazil_ArvinMeritor">#REF!</definedName>
    <definedName name="Brazil_Autocom">#REF!</definedName>
    <definedName name="Brazil_Benteler">#REF!</definedName>
    <definedName name="Brazil_Bolhoff">#REF!</definedName>
    <definedName name="Brazil_Bruning">#REF!</definedName>
    <definedName name="Brazil_Dana">#REF!</definedName>
    <definedName name="Brazil_DaycoPower">#REF!</definedName>
    <definedName name="Brazil_Delphi">#REF!</definedName>
    <definedName name="Brazil_Diehl">#REF!</definedName>
    <definedName name="Brazil_Dura">#REF!</definedName>
    <definedName name="Brazil_Eaton">#REF!</definedName>
    <definedName name="Brazil_EMU">#REF!</definedName>
    <definedName name="Brazil_Faurecia">#REF!</definedName>
    <definedName name="Brazil_FBA">#REF!</definedName>
    <definedName name="Brazil_Fibam">#REF!</definedName>
    <definedName name="Brazil_Forjas">#REF!</definedName>
    <definedName name="Brazil_Galutti\">#REF!</definedName>
    <definedName name="Brazil_Gates">#REF!</definedName>
    <definedName name="Brazil_GKN">#REF!</definedName>
    <definedName name="Brazil_Imbe">#REF!</definedName>
    <definedName name="Brazil_INA">#REF!</definedName>
    <definedName name="Brazil_Itaesbra">#REF!</definedName>
    <definedName name="Brazil_Krupp">#REF!</definedName>
    <definedName name="Brazil_Litens">#REF!</definedName>
    <definedName name="Brazil_MagnettiMarelli">#REF!</definedName>
    <definedName name="Brazil_MahleMetal">#REF!</definedName>
    <definedName name="Brazil_MahleMMG">#REF!</definedName>
    <definedName name="Brazil_Maxion">#REF!</definedName>
    <definedName name="Brazil_Metalac">#REF!</definedName>
    <definedName name="Brazil_Metalbages">#REF!</definedName>
    <definedName name="Brazil_Metalkraft">#REF!</definedName>
    <definedName name="Brazil_Montepino">#REF!</definedName>
    <definedName name="Brazil_Musashi">#REF!</definedName>
    <definedName name="Brazil_Onca">#REF!</definedName>
    <definedName name="Brazil_Polimetri">#REF!</definedName>
    <definedName name="Brazil_Pressac">#REF!</definedName>
    <definedName name="Brazil_SadaForjas">#REF!</definedName>
    <definedName name="Brazil_Sifco">#REF!</definedName>
    <definedName name="Brazil_SNR">#REF!</definedName>
    <definedName name="Brazil_Tekfor">#REF!</definedName>
    <definedName name="Brazil_TeksidAluminio">#REF!</definedName>
    <definedName name="Brazil_Tenneco">#REF!</definedName>
    <definedName name="Brazil_Tower">#REF!</definedName>
    <definedName name="Brazil_TRW">#REF!</definedName>
    <definedName name="Brazil_Visteon">#REF!</definedName>
    <definedName name="Brazil_Zanettini">#REF!</definedName>
    <definedName name="Brazil_ZMLemforder">#REF!</definedName>
    <definedName name="BRD">#REF!</definedName>
    <definedName name="BRE">#REF!</definedName>
    <definedName name="BRE_AUG">#REF!</definedName>
    <definedName name="Breakage">#REF!</definedName>
    <definedName name="Breakage_Discount">#REF!</definedName>
    <definedName name="BREAKEVEN_ANALYSIS">#REF!</definedName>
    <definedName name="BreakupDBothBnkComp">#REF!</definedName>
    <definedName name="BreakupDPothBanks">#REF!</definedName>
    <definedName name="BreakupDPSBI">#REF!</definedName>
    <definedName name="BreakupDPSBIcompare">#REF!</definedName>
    <definedName name="BRG">#REF!</definedName>
    <definedName name="BRICE_UMBA_TSIMBA">#REF!</definedName>
    <definedName name="BRICE_UMBA_TSIMBA_19">"$#REF!.$#REF!$#REF!:$#REF!$#REF!"</definedName>
    <definedName name="BRINTERNATIONAL">#REF!</definedName>
    <definedName name="BRIPL">#REF!</definedName>
    <definedName name="brk">#REF!</definedName>
    <definedName name="BRKT_ASST">#REF!</definedName>
    <definedName name="BRM_101">#REF!</definedName>
    <definedName name="brm_30">#REF!</definedName>
    <definedName name="brm_31">#REF!</definedName>
    <definedName name="brm_32">#REF!</definedName>
    <definedName name="brm_33">#REF!</definedName>
    <definedName name="brm_34">#REF!</definedName>
    <definedName name="brm_40">#REF!</definedName>
    <definedName name="brm_50">#REF!</definedName>
    <definedName name="brm_51">#REF!</definedName>
    <definedName name="brm_52">#REF!</definedName>
    <definedName name="brm_53">#REF!</definedName>
    <definedName name="brm_54">#REF!</definedName>
    <definedName name="brm_55">#REF!</definedName>
    <definedName name="brm_actual30">#REF!</definedName>
    <definedName name="brm_actual31">#REF!</definedName>
    <definedName name="brm_actual32">#REF!</definedName>
    <definedName name="brm_actual33">#REF!</definedName>
    <definedName name="brm_actual34">#REF!</definedName>
    <definedName name="brm_actual40">#REF!</definedName>
    <definedName name="brm_actual50">#REF!</definedName>
    <definedName name="brm_actual51">#REF!</definedName>
    <definedName name="brm_actual52">#REF!</definedName>
    <definedName name="brm_actual53">#REF!</definedName>
    <definedName name="brm_actual54">#REF!</definedName>
    <definedName name="brm_actual55">#REF!</definedName>
    <definedName name="brm_ae_ex">#REF!</definedName>
    <definedName name="brm_ae_mh">#REF!</definedName>
    <definedName name="brm_ae_mi">#REF!</definedName>
    <definedName name="brm_ae_mlf">#REF!</definedName>
    <definedName name="brm_as_ex">#REF!</definedName>
    <definedName name="brm_as_mh">#REF!</definedName>
    <definedName name="brm_as_mi">#REF!</definedName>
    <definedName name="brm_as_mlf">#REF!</definedName>
    <definedName name="brm_enc_ex">#REF!</definedName>
    <definedName name="brm_enc_mh">#REF!</definedName>
    <definedName name="brm_enc_mi">#REF!</definedName>
    <definedName name="brm_enc_mlf">#REF!</definedName>
    <definedName name="brofit">#REF!</definedName>
    <definedName name="BROK">#REF!</definedName>
    <definedName name="bRTDKDK">#REF!</definedName>
    <definedName name="Bry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s">#REF!</definedName>
    <definedName name="BS.">Scheduled_Payment+Extra_Payment</definedName>
    <definedName name="BS.CapWrkProg">#REF!</definedName>
    <definedName name="BS.Depreciation">#REF!</definedName>
    <definedName name="BS.GrossBlock">#REF!</definedName>
    <definedName name="BS.NetBlock">#REF!</definedName>
    <definedName name="BS.TotSecrLoan">#REF!</definedName>
    <definedName name="BS_cdn">#REF!</definedName>
    <definedName name="BS_DETAIL">#REF!</definedName>
    <definedName name="BS_DETL_BORDER">#REF!</definedName>
    <definedName name="BS_G">#REF!</definedName>
    <definedName name="BS_Locale">#REF!</definedName>
    <definedName name="bs_new">#REF!</definedName>
    <definedName name="BSblnHideRow">#N/A</definedName>
    <definedName name="bscl">#REF!</definedName>
    <definedName name="BSDateSF">#REF!</definedName>
    <definedName name="BSDEC0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dfdsmfbmdsbgm" hidden="1">{#N/A,#N/A,FALSE,"Aging Summary";#N/A,#N/A,FALSE,"Ratio Analysis";#N/A,#N/A,FALSE,"Test 120 Day Accts";#N/A,#N/A,FALSE,"Tickmarks"}</definedName>
    <definedName name="bsdiff">#REF!</definedName>
    <definedName name="BSG">#REF!</definedName>
    <definedName name="BSgpg_1">#REF!</definedName>
    <definedName name="BSGR">#REF!</definedName>
    <definedName name="BSGROUP">#REF!</definedName>
    <definedName name="BSGrouping">#REF!</definedName>
    <definedName name="BSgrouping_1">#REF!</definedName>
    <definedName name="BSgrouuping_2">#REF!</definedName>
    <definedName name="bsheet">#REF!</definedName>
    <definedName name="BSHistForc">#REF!</definedName>
    <definedName name="bsht" hidden="1">{#N/A,#N/A,FALSE,"FINAL"}</definedName>
    <definedName name="BSK">#REF!</definedName>
    <definedName name="BSM">#REF!</definedName>
    <definedName name="bsoct">#REF!</definedName>
    <definedName name="bson">#REF!</definedName>
    <definedName name="Bsp">#REF!</definedName>
    <definedName name="BSPL">#REF!,#REF!</definedName>
    <definedName name="BSR_II">#REF!</definedName>
    <definedName name="bss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SCH">#REF!</definedName>
    <definedName name="BSSWIP">#N/A</definedName>
    <definedName name="bst">#REF!</definedName>
    <definedName name="BSTB">#REF!</definedName>
    <definedName name="BSTB0">#REF!</definedName>
    <definedName name="bstemp">#REF!</definedName>
    <definedName name="BSUnSec.FrmBank">#REF!</definedName>
    <definedName name="BSUnSec.FrmOthrs">#REF!</definedName>
    <definedName name="BSWIP">#N/A</definedName>
    <definedName name="bt">#REF!</definedName>
    <definedName name="bt_17">#REF!</definedName>
    <definedName name="bt_4">#REF!</definedName>
    <definedName name="btai">#REF!</definedName>
    <definedName name="btcocnhoi">#REF!</definedName>
    <definedName name="btham">#REF!</definedName>
    <definedName name="BTOI" hidden="1">{#N/A,#N/A,FALSE,"Tabl. FB300";#N/A,#N/A,FALSE,"Tabl. FB350";#N/A,#N/A,FALSE,"Tabl. FB400";#N/A,#N/A,FALSE,"Tabl. FB500";#N/A,#N/A,FALSE,"Tabl. FS090"}</definedName>
    <definedName name="BTS">#REF!</definedName>
    <definedName name="bty" hidden="1">{#N/A,#N/A,FALSE,"PGW"}</definedName>
    <definedName name="bty_2" hidden="1">{#N/A,#N/A,FALSE,"PGW"}</definedName>
    <definedName name="bty_3" hidden="1">{#N/A,#N/A,FALSE,"PGW"}</definedName>
    <definedName name="bty_4" hidden="1">{#N/A,#N/A,FALSE,"PGW"}</definedName>
    <definedName name="BUD">#REF!</definedName>
    <definedName name="BUD2_DETAILS">#REF!</definedName>
    <definedName name="BUD2_GL">#REF!</definedName>
    <definedName name="BUDGET" hidden="1">{#N/A,#N/A,FALSE,"Full";#N/A,#N/A,FALSE,"Half";#N/A,#N/A,FALSE,"Op Expenses";#N/A,#N/A,FALSE,"Cap Charge";#N/A,#N/A,FALSE,"Cost C";#N/A,#N/A,FALSE,"PP&amp;E";#N/A,#N/A,FALSE,"R&amp;D"}</definedName>
    <definedName name="Budget_Volumes___Sales_2006__First_Cut">#REF!</definedName>
    <definedName name="BudgetCurrentMonth">#REF!</definedName>
    <definedName name="BudgetCurrentYearBeginDate">#REF!</definedName>
    <definedName name="BUDREC">#REF!</definedName>
    <definedName name="buffer">#REF!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">#REF!</definedName>
    <definedName name="build_quantity">#REF!</definedName>
    <definedName name="BUILDING">#REF!</definedName>
    <definedName name="BuildingCost">#REF!</definedName>
    <definedName name="buildings">#REF!</definedName>
    <definedName name="BuiltIn_Consolidate_Area">NA()</definedName>
    <definedName name="BuiltIn_Consolidate_Area___0">NA()</definedName>
    <definedName name="BuiltIn_Consolidate_Area___0___0">NA()</definedName>
    <definedName name="BuiltIn_Consolidate_Area___1">NA()</definedName>
    <definedName name="BuiltIn_Consolidate_Area___10">NA()</definedName>
    <definedName name="BuiltIn_Consolidate_Area___11">NA()</definedName>
    <definedName name="BuiltIn_Consolidate_Area___12">NA()</definedName>
    <definedName name="BuiltIn_Consolidate_Area___13">NA()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8">NA()</definedName>
    <definedName name="BuiltIn_Consolidate_Area___9">NA()</definedName>
    <definedName name="BuiltIn_Print_Area">"$#REF!.$G$7:$#REF!.$EN$15690"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7">#REF!</definedName>
    <definedName name="BuiltIn_Print_Titles">#N/A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ll" hidden="1">{"detail",#N/A,FALSE,"mfg";"summary",#N/A,FALSE,"mfg"}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hit">#REF!</definedName>
    <definedName name="BURGLARY">#N/A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car">"REGULATEN"</definedName>
    <definedName name="Business">#REF!</definedName>
    <definedName name="Business_dropdown">#REF!</definedName>
    <definedName name="business_income">#REF!</definedName>
    <definedName name="BUSINESS_INDICATORS">#REF!</definedName>
    <definedName name="Business_Mansger_wise_Region_wise_Sales_Value__Budget_2006">#REF!</definedName>
    <definedName name="busprof.IncOfCurYrAfterSetOff">#REF!</definedName>
    <definedName name="Button_1">"ADBK_Sheet15_List"</definedName>
    <definedName name="Button_10">"Fixed_Assets_Tracking_and_Register_Ver_1_01_CATEGORY_List"</definedName>
    <definedName name="Button_11">"Fixed_Assets_Tracking_and_Register_Ver_1_01_CATEGORY_List"</definedName>
    <definedName name="Button_12">"Fixed_Assets_Tracking_and_Register_Ver_1_01_CATEGORY_List"</definedName>
    <definedName name="Button_2">"ADBK_Sheet15_List1"</definedName>
    <definedName name="Button_5">"AS_PER_TALLY_31_09_04_ONYX_List"</definedName>
    <definedName name="Button_6">"icici_exposure_Simplified_Portfolio_List"</definedName>
    <definedName name="Button_633">"ML_WORKS_PRICE_STOCK_2004_DATABASE_List"</definedName>
    <definedName name="Button_7">"AS_PER_TALLY_31_09_04_ONYX_List1"</definedName>
    <definedName name="Button_8">"AS_PER_TALLY_31_09_04_ONYX_List1"</definedName>
    <definedName name="Button_9">"icici_exposure_Simplified_Portfolio_List"</definedName>
    <definedName name="Buy">#REF!</definedName>
    <definedName name="bv" hidden="1">{"net assets",#N/A,FALSE,"summary";"asset turnover",#N/A,FALSE,"summary";"orona",#N/A,FALSE,"summary"}</definedName>
    <definedName name="BVA">#REF!</definedName>
    <definedName name="bvc" hidden="1">{#N/A,#N/A,FALSE,"QC REVIEW"}</definedName>
    <definedName name="BVCISUMMARY">#REF!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nvb">#REF!</definedName>
    <definedName name="bwboiler">#REF!</definedName>
    <definedName name="bwgh" hidden="1">{#N/A,#N/A,FALSE,"OSBL"}</definedName>
    <definedName name="bwgh_1" hidden="1">{#N/A,#N/A,FALSE,"OSBL"}</definedName>
    <definedName name="bwgh_2" hidden="1">{#N/A,#N/A,FALSE,"OSBL"}</definedName>
    <definedName name="bwgh_3" hidden="1">{#N/A,#N/A,FALSE,"OSBL"}</definedName>
    <definedName name="bwgh_4" hidden="1">{#N/A,#N/A,FALSE,"OSBL"}</definedName>
    <definedName name="bwrhrt" hidden="1">{#N/A,#N/A,FALSE,"PGW"}</definedName>
    <definedName name="bwrhrt_1" hidden="1">{#N/A,#N/A,FALSE,"PGW"}</definedName>
    <definedName name="bwrhrt_2" hidden="1">{#N/A,#N/A,FALSE,"PGW"}</definedName>
    <definedName name="bwrhrt_3" hidden="1">{#N/A,#N/A,FALSE,"PGW"}</definedName>
    <definedName name="bwrhrt_4" hidden="1">{#N/A,#N/A,FALSE,"PGW"}</definedName>
    <definedName name="BZ">#REF!</definedName>
    <definedName name="bzdgf" hidden="1">{TRUE,TRUE,-1.25,-15.5,484.5,255,FALSE,FALSE,TRUE,FALSE,0,2,16,1,6,13,5,4,TRUE,TRUE,3,TRUE,1,TRUE,75,"Swvu.A.","ACwvu.A.",#N/A,FALSE,FALSE,0.2,0.22,1,0.641,2,"&amp;L&amp;""Arial,Bold""&amp;11Essar Projects LimitedEOL Refinery Project&amp;C&amp;""Arial,Bold""&amp;14TOTAL REFINERY PROJECTREFINERY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#N/A</definedName>
    <definedName name="C_2">#REF!</definedName>
    <definedName name="C_C">#REF!</definedName>
    <definedName name="C_M">#REF!</definedName>
    <definedName name="C_T">#REF!</definedName>
    <definedName name="C_VND">0.03</definedName>
    <definedName name="C_YEN">0.1</definedName>
    <definedName name="CA">#REF!</definedName>
    <definedName name="ca_p">#REF!</definedName>
    <definedName name="caa_sale">#REF!</definedName>
    <definedName name="CADAVERAGE">#REF!</definedName>
    <definedName name="cadc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DCLOSING">#REF!</definedName>
    <definedName name="CAL">#REF!</definedName>
    <definedName name="CALC3">#REF!</definedName>
    <definedName name="calculation">#REF!</definedName>
    <definedName name="calculations">#REF!</definedName>
    <definedName name="Calcutta">#REF!</definedName>
    <definedName name="Calendar">#REF!</definedName>
    <definedName name="cam">#REF!</definedName>
    <definedName name="Cam_Heater_Air_Control">#REF!</definedName>
    <definedName name="CAMERA_EQUIPMENT">#REF!</definedName>
    <definedName name="CAMPHONG" hidden="1">{"'Sheet1'!$L$16"}</definedName>
    <definedName name="CAN">#REF!</definedName>
    <definedName name="can_asp">#REF!</definedName>
    <definedName name="can_bklg">#REF!</definedName>
    <definedName name="Can_detail">#REF!</definedName>
    <definedName name="can_inv">#REF!</definedName>
    <definedName name="can_si">#REF!</definedName>
    <definedName name="canada">#REF!</definedName>
    <definedName name="CANIMP">#REF!</definedName>
    <definedName name="CANOATAR">#REF!</definedName>
    <definedName name="CANOLA">#REF!</definedName>
    <definedName name="cap">#REF!</definedName>
    <definedName name="Cap.wip">#REF!</definedName>
    <definedName name="cap\loan">#REF!</definedName>
    <definedName name="Cap_1">#REF!</definedName>
    <definedName name="Cap_2">#REF!</definedName>
    <definedName name="Cap_3">#REF!</definedName>
    <definedName name="Cap_4">#REF!</definedName>
    <definedName name="Cap_5">#REF!</definedName>
    <definedName name="Cap_6">#REF!</definedName>
    <definedName name="Cap_Ade_A_Part">#REF!</definedName>
    <definedName name="Cap_Ade_B_Part">#REF!</definedName>
    <definedName name="cap_other">#REF!</definedName>
    <definedName name="cap0.7">#REF!</definedName>
    <definedName name="CAPACITY">#REF!</definedName>
    <definedName name="CAPBOH">#N/A</definedName>
    <definedName name="capchrg">#REF!</definedName>
    <definedName name="capchrgadj">#REF!</definedName>
    <definedName name="CAPEOH">#N/A</definedName>
    <definedName name="CAPEX">#REF!</definedName>
    <definedName name="Capex_budget">#REF!</definedName>
    <definedName name="CAPEX_M2A">#REF!</definedName>
    <definedName name="CAPEX_M2C">#REF!</definedName>
    <definedName name="CAPEX_M2D">#REF!</definedName>
    <definedName name="CAPEX2">#REF!</definedName>
    <definedName name="CAPEX2B">#REF!</definedName>
    <definedName name="Capex4">#REF!</definedName>
    <definedName name="capexsummary">#REF!</definedName>
    <definedName name="CAPGAIN">#N/A</definedName>
    <definedName name="capgains">#REF!</definedName>
    <definedName name="caphr">#REF!</definedName>
    <definedName name="CAPIN_CUM">#REF!</definedName>
    <definedName name="CAPIN_FINAL">#REF!</definedName>
    <definedName name="CAPINVEST">#N/A</definedName>
    <definedName name="CAPITAL">#REF!</definedName>
    <definedName name="capital_gains">#REF!</definedName>
    <definedName name="Capital_Working_in_Progress">#REF!</definedName>
    <definedName name="capital1">#REF!</definedName>
    <definedName name="capital97">#REF!</definedName>
    <definedName name="capitaladj">#REF!</definedName>
    <definedName name="CapitalExpplan" hidden="1">{"'I-1 and I-2'!$A$1:$G$190"}</definedName>
    <definedName name="CapitalGains_exempt_PrintArea">#REF!</definedName>
    <definedName name="CapitalGains_taxable_PrintArea">#REF!</definedName>
    <definedName name="CAPIZZI" hidden="1">{"'OBT_6M_30_6'!$S$1:$AE$53"}</definedName>
    <definedName name="CapSpendingExcludesSanFu" hidden="1">{"detail",#N/A,FALSE,"mfg";"summary",#N/A,FALSE,"mfg"}</definedName>
    <definedName name="Captopril">#REF!</definedName>
    <definedName name="Car_Ownewship">#REF!</definedName>
    <definedName name="CarbonConfig">#REF!</definedName>
    <definedName name="CArea">#REF!</definedName>
    <definedName name="Carhire">#REF!</definedName>
    <definedName name="carryforw">#REF!</definedName>
    <definedName name="CARRYLOSS">#REF!</definedName>
    <definedName name="cars_comp">#REF!</definedName>
    <definedName name="cartage">#REF!</definedName>
    <definedName name="CARTONS">#REF!</definedName>
    <definedName name="CA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casasca" hidden="1">{#N/A,#N/A,FALSE,"FFM"}</definedName>
    <definedName name="cascas" hidden="1">{#N/A,#N/A,FALSE,"FFM"}</definedName>
    <definedName name="CASCSAC" hidden="1">{#N/A,#N/A,FALSE,"TOWNSHIP"}</definedName>
    <definedName name="CASCSAC_1" hidden="1">{#N/A,#N/A,FALSE,"TOWNSHIP"}</definedName>
    <definedName name="CASCSAC_2" hidden="1">{#N/A,#N/A,FALSE,"TOWNSHIP"}</definedName>
    <definedName name="CASCSAC_3" hidden="1">{#N/A,#N/A,FALSE,"TOWNSHIP"}</definedName>
    <definedName name="CASCSAC_4" hidden="1">{#N/A,#N/A,FALSE,"TOWNSHIP"}</definedName>
    <definedName name="case">#REF!</definedName>
    <definedName name="Case_1">#REF!</definedName>
    <definedName name="Case_2">#REF!</definedName>
    <definedName name="case_2celeb">#REF!</definedName>
    <definedName name="Case_3">#REF!</definedName>
    <definedName name="Case_4">#REF!</definedName>
    <definedName name="case_celeb">#REF!</definedName>
    <definedName name="Case_Description">#REF!</definedName>
    <definedName name="Case_Description_1">#REF!</definedName>
    <definedName name="Case_Description_2">#REF!</definedName>
    <definedName name="Case_Description_3">#REF!</definedName>
    <definedName name="Case_Number">#REF!</definedName>
    <definedName name="Cases">#REF!</definedName>
    <definedName name="Cases1">#REF!</definedName>
    <definedName name="Cases2">#REF!</definedName>
    <definedName name="Cases3">#REF!</definedName>
    <definedName name="Cash">#REF!</definedName>
    <definedName name="Cash.Bank">#REF!</definedName>
    <definedName name="Cash___ROI_Statement">#REF!</definedName>
    <definedName name="CASH__FLOW__STATEMENT">#REF!</definedName>
    <definedName name="cash_bank">#REF!</definedName>
    <definedName name="CASH_CHEQUE_IN_TRANSIT">#REF!</definedName>
    <definedName name="cash_flow">#REF!</definedName>
    <definedName name="Cash_Flow_Statement">#REF!</definedName>
    <definedName name="CASH_ON_HAND">#REF!</definedName>
    <definedName name="CASH_REC">#REF!</definedName>
    <definedName name="CASH_STK">#REF!</definedName>
    <definedName name="CASH_SUMMARY">#REF!</definedName>
    <definedName name="CASH1">#REF!</definedName>
    <definedName name="cashaccr">#REF!</definedName>
    <definedName name="cashamort">#REF!</definedName>
    <definedName name="CashandBank">#REF!</definedName>
    <definedName name="cashbank">#REF!</definedName>
    <definedName name="cashbreak">#REF!</definedName>
    <definedName name="cashcag">#REF!</definedName>
    <definedName name="casheq">#REF!</definedName>
    <definedName name="cashf" hidden="1">{"page 1",#N/A,FALSE,"A";"page 2",#N/A,FALSE,"A";"page 3",#N/A,FALSE,"A";"page 4",#N/A,FALSE,"A";"page 5",#N/A,FALSE,"A"}</definedName>
    <definedName name="CASHFLOW">#N/A</definedName>
    <definedName name="CASHFLOW____DECEMBER__FEB_98">#REF!</definedName>
    <definedName name="CASHFLOW_CUM">#REF!</definedName>
    <definedName name="CASHFLOW_FIN">#REF!</definedName>
    <definedName name="Cashflow_yy">#REF!</definedName>
    <definedName name="cashflowkpmg">#REF!</definedName>
    <definedName name="CashflowMonth1Actuals">#REF!</definedName>
    <definedName name="CashflowMonth1Budget">#REF!</definedName>
    <definedName name="CashflowMonth2Actuals">#REF!</definedName>
    <definedName name="CashflowMonth2Budget">#REF!</definedName>
    <definedName name="CashflowMonth3Actuals">#REF!</definedName>
    <definedName name="CashflowMonth3Budget">#REF!</definedName>
    <definedName name="CashflowMonth4Actuals">#REF!</definedName>
    <definedName name="CashflowMonth4Budget">#REF!</definedName>
    <definedName name="CASHFLOWQTR">#REF!</definedName>
    <definedName name="cashflows_1">#REF!</definedName>
    <definedName name="cashflows_2">#REF!</definedName>
    <definedName name="cashflows_3">#REF!</definedName>
    <definedName name="cashflows_4">#REF!</definedName>
    <definedName name="cashflows_print">#REF!</definedName>
    <definedName name="cashflows1_print">#REF!</definedName>
    <definedName name="cashflows2_print">#REF!</definedName>
    <definedName name="CashflowYTDActuals">#REF!</definedName>
    <definedName name="CashflowYTDBudget">#REF!</definedName>
    <definedName name="cashmain">#REF!</definedName>
    <definedName name="cashpaid">#REF!</definedName>
    <definedName name="CashProfitActuals">#REF!</definedName>
    <definedName name="CashProfitBudget">#REF!</definedName>
    <definedName name="CashProfitMonth1Actuals">#REF!</definedName>
    <definedName name="CashProfitMonth1Budget">#REF!</definedName>
    <definedName name="CashProfitMonth2Actuals">#REF!</definedName>
    <definedName name="CashProfitMonth2Budget">#REF!</definedName>
    <definedName name="CashProfitMonth3Actuals">#REF!</definedName>
    <definedName name="CashProfitMonth3Budget">#REF!</definedName>
    <definedName name="CashProfitMonth4Actuals">#REF!</definedName>
    <definedName name="CashProfitMonth4Budget">#REF!</definedName>
    <definedName name="CashProfitYTDActuals">#REF!</definedName>
    <definedName name="CashProfitYTDBudget">#REF!</definedName>
    <definedName name="cashpurch">#REF!</definedName>
    <definedName name="cashsub">#REF!</definedName>
    <definedName name="cashugl">#REF!</definedName>
    <definedName name="Cat">#REF!</definedName>
    <definedName name="Catalyser">#REF!</definedName>
    <definedName name="CATEGORIA">#REF!</definedName>
    <definedName name="category">#REF!</definedName>
    <definedName name="Category_All">#REF!</definedName>
    <definedName name="category1">#REF!</definedName>
    <definedName name="CATIN">#N/A</definedName>
    <definedName name="CATJYOU">#N/A</definedName>
    <definedName name="CATREC">#N/A</definedName>
    <definedName name="CATSYU">#N/A</definedName>
    <definedName name="CAUV">#REF!</definedName>
    <definedName name="CAUZIONICLIENTI">#REF!</definedName>
    <definedName name="cazzo" hidden="1">{"'OBT_6M_30_6'!$S$1:$AE$53"}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City">#REF!</definedName>
    <definedName name="CBCountry">#REF!</definedName>
    <definedName name="CBDSGHDDDD" hidden="1">{"'BGT2001'!$A$1:$AE$112"}</definedName>
    <definedName name="cbm">#REF!</definedName>
    <definedName name="CBM_40FT">#REF!</definedName>
    <definedName name="CBMT">#REF!</definedName>
    <definedName name="CBName">#REF!</definedName>
    <definedName name="cboBusiness">#REF!</definedName>
    <definedName name="CBPhone">#REF!</definedName>
    <definedName name="CBRegion">#REF!</definedName>
    <definedName name="cbs">#REF!</definedName>
    <definedName name="CBStreet1">#REF!</definedName>
    <definedName name="CBStreet2">#REF!</definedName>
    <definedName name="CBStreet3">#REF!</definedName>
    <definedName name="cbu" hidden="1">{#N/A,#N/A,FALSE,"COVER.XLS";#N/A,#N/A,FALSE,"RACT1.XLS";#N/A,#N/A,FALSE,"RACT2.XLS";#N/A,#N/A,FALSE,"ECCMP";#N/A,#N/A,FALSE,"WELDER.XLS"}</definedName>
    <definedName name="CBZipCode">#REF!</definedName>
    <definedName name="cc">#REF!</definedName>
    <definedName name="CC.QQ">#REF!</definedName>
    <definedName name="cc_data">#REF!</definedName>
    <definedName name="CCAR">#REF!</definedName>
    <definedName name="ccc">#REF!</definedName>
    <definedName name="ccc_2" hidden="1">{#N/A,#N/A,FALSE,"OSBL"}</definedName>
    <definedName name="ccc_3" hidden="1">{#N/A,#N/A,FALSE,"OSBL"}</definedName>
    <definedName name="ccc_4" hidden="1">{#N/A,#N/A,FALSE,"OSBL"}</definedName>
    <definedName name="ccc_new">#REF!</definedName>
    <definedName name="cccc" hidden="1">{"page 1",#N/A,FALSE,"A";"page 2",#N/A,FALSE,"A";"page 3",#N/A,FALSE,"A";"page 4",#N/A,FALSE,"A";"page 5",#N/A,FALSE,"A"}</definedName>
    <definedName name="ccccc" hidden="1">{#N/A,#N/A,FALSE,"Layout Cash Flow"}</definedName>
    <definedName name="CCCCCCCCC" hidden="1">{"'BGT2001'!$A$1:$AE$112"}</definedName>
    <definedName name="ccf" hidden="1">{"YD PRS",#N/A,FALSE,"YTD"}</definedName>
    <definedName name="ccff">#N/A</definedName>
    <definedName name="ccff_1">#N/A</definedName>
    <definedName name="ccff_2">#N/A</definedName>
    <definedName name="ccfinal">#REF!</definedName>
    <definedName name="CCH">#REF!</definedName>
    <definedName name="C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ost">#REF!</definedName>
    <definedName name="CCT">#REF!</definedName>
    <definedName name="cd">#REF!</definedName>
    <definedName name="cdds" hidden="1">{"detail",#N/A,FALSE,"mfg";"summary",#N/A,FALSE,"mfg"}</definedName>
    <definedName name="cde">#REF!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n">#REF!</definedName>
    <definedName name="CDPG1">#REF!</definedName>
    <definedName name="CDPG5">#REF!</definedName>
    <definedName name="cds" hidden="1">{#N/A,#N/A,FALSE,"FFM"}</definedName>
    <definedName name="cdu" hidden="1">{#N/A,#N/A,FALSE,"COVER.XLS";#N/A,#N/A,FALSE,"RACT1.XLS";#N/A,#N/A,FALSE,"RACT2.XLS";#N/A,#N/A,FALSE,"ECCMP";#N/A,#N/A,FALSE,"WELDER.XLS"}</definedName>
    <definedName name="CDY">#REF!</definedName>
    <definedName name="CE">#N/A</definedName>
    <definedName name="CE_CarryKnownTable">#REF!</definedName>
    <definedName name="ce_lf_fore" hidden="1">{"'BGT2001'!$A$1:$AE$112"}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at">#REF!</definedName>
    <definedName name="ceat1">#REF!</definedName>
    <definedName name="celine" hidden="1">{#N/A,#N/A,FALSE,"Tabl. G1";#N/A,#N/A,FALSE,"Tabl. G2"}</definedName>
    <definedName name="cellmo">#REF!</definedName>
    <definedName name="celltips_area">#REF!</definedName>
    <definedName name="CENTER">#REF!</definedName>
    <definedName name="Centre">#REF!</definedName>
    <definedName name="CERTIFICATE_OF_DEPOSITS">#REF!</definedName>
    <definedName name="ces">{"'Changes Log'!$A$1:$F$25"}</definedName>
    <definedName name="cew" hidden="1">{"ICD Details",#N/A,FALSE,"Current Yr";"ICD Details",#N/A,FALSE,"Budget";"ICD Details",#N/A,FALSE,"Prior Year"}</definedName>
    <definedName name="CEXP">#REF!</definedName>
    <definedName name="CF">#REF!</definedName>
    <definedName name="cf.mult">#REF!</definedName>
    <definedName name="CFA">#REF!</definedName>
    <definedName name="CFActM10Y1">#REF!</definedName>
    <definedName name="CFActM10Y2">#REF!</definedName>
    <definedName name="CFActM11Y1">#REF!</definedName>
    <definedName name="CFActM11Y2">#REF!</definedName>
    <definedName name="CFActM12Y1">#REF!</definedName>
    <definedName name="CFActM12Y2">#REF!</definedName>
    <definedName name="CFActM1Y1">#REF!</definedName>
    <definedName name="CFActM1Y2">#REF!</definedName>
    <definedName name="CFActM2Y1">#REF!</definedName>
    <definedName name="CFActM2Y2">#REF!</definedName>
    <definedName name="CFActM3Y1">#REF!</definedName>
    <definedName name="CFActM3Y2">#REF!</definedName>
    <definedName name="CFActM4Y1">#REF!</definedName>
    <definedName name="CFActM4Y2">#REF!</definedName>
    <definedName name="CFActM5Y1">#REF!</definedName>
    <definedName name="CFActM5Y2">#REF!</definedName>
    <definedName name="CFActM6Y1">#REF!</definedName>
    <definedName name="CFActM6Y2">#REF!</definedName>
    <definedName name="CFActM7Y1">#REF!</definedName>
    <definedName name="CFActM7Y2">#REF!</definedName>
    <definedName name="CFActM8Y1">#REF!</definedName>
    <definedName name="CFActM8Y2">#REF!</definedName>
    <definedName name="CFActM9Y1">#REF!</definedName>
    <definedName name="CFActM9Y2">#REF!</definedName>
    <definedName name="CFcomp">#REF!</definedName>
    <definedName name="cfd">#N/A</definedName>
    <definedName name="CFFcstM10Y1">#REF!</definedName>
    <definedName name="CFFcstM10Y2">#REF!</definedName>
    <definedName name="CFFcstM11Y1">#REF!</definedName>
    <definedName name="CFFcstM11Y2">#REF!</definedName>
    <definedName name="CFFcstM12Y1">#REF!</definedName>
    <definedName name="CFFcstM12Y2">#REF!</definedName>
    <definedName name="CFFcstM1Y1">#REF!</definedName>
    <definedName name="CFFcstM1Y2">#REF!</definedName>
    <definedName name="CFFcstM2Y1">#REF!</definedName>
    <definedName name="CFFcstM2Y2">#REF!</definedName>
    <definedName name="CFFcstM3Y1">#REF!</definedName>
    <definedName name="CFFcstM3Y2">#REF!</definedName>
    <definedName name="CFFcstM4Y1">#REF!</definedName>
    <definedName name="CFFcstM4Y2">#REF!</definedName>
    <definedName name="CFFcstM5Y1">#REF!</definedName>
    <definedName name="CFFcstM5Y2">#REF!</definedName>
    <definedName name="CFFcstM6Y1">#REF!</definedName>
    <definedName name="CFFcstM6Y2">#REF!</definedName>
    <definedName name="CFFcstM7Y1">#REF!</definedName>
    <definedName name="CFFcstM7Y2">#REF!</definedName>
    <definedName name="CFFcstM8Y1">#REF!</definedName>
    <definedName name="CFFcstM8Y2">#REF!</definedName>
    <definedName name="CFFcstM9Y1">#REF!</definedName>
    <definedName name="CFFcstM9Y2">#REF!</definedName>
    <definedName name="cfg" hidden="1">{"Act_vs_Budget",#N/A,FALSE,"QTRDPVAR";"Act_vs_Prior_Year",#N/A,FALSE,"QTRDPVAR"}</definedName>
    <definedName name="cfk">#REF!</definedName>
    <definedName name="cflow">#REF!</definedName>
    <definedName name="CFlowSum">#REF!</definedName>
    <definedName name="CFormats">#REF!</definedName>
    <definedName name="CFS">#REF!</definedName>
    <definedName name="cfs_cy.Credits">#N/A</definedName>
    <definedName name="cfs_cy.Data">#N/A</definedName>
    <definedName name="cfs_cy.DataPT">#N/A</definedName>
    <definedName name="cfs_cy.Debits">#N/A</definedName>
    <definedName name="cfs_cy.Description">#N/A</definedName>
    <definedName name="cfs_cy.Ending_Balance">#N/A</definedName>
    <definedName name="CFS_Others">#REF!</definedName>
    <definedName name="cfs_py.Credits">#N/A</definedName>
    <definedName name="cfs_py.Data">#N/A</definedName>
    <definedName name="cfs_py.DataPT">#N/A</definedName>
    <definedName name="cfs_py.Debits">#N/A</definedName>
    <definedName name="cfs_py.Description">#N/A</definedName>
    <definedName name="cfs_py.Ending_Balance">#N/A</definedName>
    <definedName name="cfst">#REF!</definedName>
    <definedName name="CFtemp" hidden="1">{"Refining 1",#N/A,FALSE,"Detailed cost - crude";"Refining 2",#N/A,FALSE,"Detailed cost - crude"}</definedName>
    <definedName name="CFX">#REF!</definedName>
    <definedName name="CFX_4">#REF!</definedName>
    <definedName name="cg.TotalLTCG">#REF!</definedName>
    <definedName name="CGAV">#REF!</definedName>
    <definedName name="cgavB">#REF!</definedName>
    <definedName name="CGF" hidden="1">{#N/A,#N/A,FALSE,"TOWNSHIP"}</definedName>
    <definedName name="CGFGFGF" hidden="1">{#N/A,#N/A,FALSE,"FREE"}</definedName>
    <definedName name="cghf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M" hidden="1">{#N/A,#N/A,FALSE,"FINAL"}</definedName>
    <definedName name="cglng.BalanceCG1">#REF!</definedName>
    <definedName name="cglng.CGSlumpSale2">#REF!</definedName>
    <definedName name="cglng.DednUs54s2">#REF!</definedName>
    <definedName name="cglng.ExemptionOrDednUs54s1">#REF!</definedName>
    <definedName name="cglng.FullConsideration01">#REF!</definedName>
    <definedName name="cglng.FullConsideration3">#REF!</definedName>
    <definedName name="cglng.NetWorthOfUTDivn2">#REF!</definedName>
    <definedName name="cglng.TotalDedn1">#REF!</definedName>
    <definedName name="cgoth.BalanceCG2">#REF!</definedName>
    <definedName name="cgoth.ExemptionOrDednUs54s2">#REF!</definedName>
    <definedName name="cgoth.FullConsideration02">#REF!</definedName>
    <definedName name="cgoth.TotalDedn2">#REF!</definedName>
    <definedName name="CGREXP">#REF!</definedName>
    <definedName name="CGRFR">#REF!</definedName>
    <definedName name="CGRIMP">#REF!</definedName>
    <definedName name="CGROTH">#REF!</definedName>
    <definedName name="cgshrt.CGSlumpSale1">#REF!</definedName>
    <definedName name="cgshrt.DednUs54s1">#REF!</definedName>
    <definedName name="cgshrt.FullConsideration2">#REF!</definedName>
    <definedName name="cgshrt.TotalDedn">#REF!</definedName>
    <definedName name="cgshrt.TotalSTCG">#REF!</definedName>
    <definedName name="cgvg" hidden="1">{#N/A,#N/A,FALSE,"FREE"}</definedName>
    <definedName name="cgvg_2" hidden="1">{#N/A,#N/A,FALSE,"FREE"}</definedName>
    <definedName name="cgvg_3" hidden="1">{#N/A,#N/A,FALSE,"FREE"}</definedName>
    <definedName name="cgvg_4" hidden="1">{#N/A,#N/A,FALSE,"FREE"}</definedName>
    <definedName name="CH_FIN_NET">#REF!</definedName>
    <definedName name="CHA">#REF!</definedName>
    <definedName name="CHA_BAL___F215">#REF!</definedName>
    <definedName name="CHA_BOOKED">#REF!</definedName>
    <definedName name="Chal">#REF!</definedName>
    <definedName name="Chall">#REF!</definedName>
    <definedName name="ChallanDatabase">#REF!</definedName>
    <definedName name="ChallanDatabaseTotal">#REF!</definedName>
    <definedName name="ChallanSrnoList">#REF!</definedName>
    <definedName name="Chances">#REF!</definedName>
    <definedName name="chandra">{#N/A,#N/A,FALSE,"PMTABB";#N/A,#N/A,FALSE,"PMTABB"}</definedName>
    <definedName name="chane">#REF!</definedName>
    <definedName name="change">#REF!</definedName>
    <definedName name="change_ship">#REF!</definedName>
    <definedName name="change_year">#REF!</definedName>
    <definedName name="changes_on_PO_Price">#REF!</definedName>
    <definedName name="Chans_per_Disbn_sys">#REF!</definedName>
    <definedName name="chargers" hidden="1">{"PAGE 1",#N/A,FALSE,"ES-01-XX";"PAGE 2",#N/A,FALSE,"ES-01-XX"}</definedName>
    <definedName name="Charges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CHART">#REF!</definedName>
    <definedName name="chart4">#REF!</definedName>
    <definedName name="ChartCaptions">#REF!</definedName>
    <definedName name="ChartCaptions2">#REF!</definedName>
    <definedName name="chartfield">#REF!</definedName>
    <definedName name="ChartingLabels">#REF!</definedName>
    <definedName name="ChartingTitles">#REF!</definedName>
    <definedName name="CHARTOFACCOUNTSID1">#REF!</definedName>
    <definedName name="CHARTOFACCOUNTSID2">#REF!</definedName>
    <definedName name="CHARTOFACCOUNTSID3">#REF!</definedName>
    <definedName name="charts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charu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D">#REF!</definedName>
    <definedName name="check">#REF!</definedName>
    <definedName name="Check_Code">"Check Code"</definedName>
    <definedName name="check1">#REF!</definedName>
    <definedName name="check6">#REF!</definedName>
    <definedName name="CheckFirst">#REF!</definedName>
    <definedName name="CheckLast">#REF!</definedName>
    <definedName name="Cheetos">#REF!</definedName>
    <definedName name="CHEM">#REF!</definedName>
    <definedName name="CHEMICALS">#REF!</definedName>
    <definedName name="chennai" hidden="1">{#N/A,#N/A,FALSE,"Aging Summary";#N/A,#N/A,FALSE,"Ratio Analysis";#N/A,#N/A,FALSE,"Test 120 Day Accts";#N/A,#N/A,FALSE,"Tickmarks"}</definedName>
    <definedName name="chennai_1" hidden="1">{#N/A,#N/A,FALSE,"Aging Summary";#N/A,#N/A,FALSE,"Ratio Analysis";#N/A,#N/A,FALSE,"Test 120 Day Accts";#N/A,#N/A,FALSE,"Tickmarks"}</definedName>
    <definedName name="ChennaiSheet1">#REF!</definedName>
    <definedName name="CHFcashpaid">#REF!</definedName>
    <definedName name="CHFcashrecd">#REF!</definedName>
    <definedName name="CHFexp">#REF!</definedName>
    <definedName name="CHFexppayable">#REF!</definedName>
    <definedName name="CHFinc">#REF!</definedName>
    <definedName name="CHFincrecbl">#REF!</definedName>
    <definedName name="CHFpayabl">#REF!</definedName>
    <definedName name="CHFrecbl">#REF!</definedName>
    <definedName name="chgcvhgvvg" hidden="1">#REF!</definedName>
    <definedName name="CHHANELS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hikmaglur">#REF!</definedName>
    <definedName name="China_AsimcoCasting">#REF!</definedName>
    <definedName name="china_asp">#REF!</definedName>
    <definedName name="china_bklg">#REF!</definedName>
    <definedName name="China_detail">#REF!</definedName>
    <definedName name="China_FedMogul">#REF!</definedName>
    <definedName name="China_HuzhouAnda">#REF!</definedName>
    <definedName name="China_JiaXing">#REF!</definedName>
    <definedName name="China_NanjingTeksid">#REF!</definedName>
    <definedName name="CHINA_PLASTIC_in_KUSD">#REF!</definedName>
    <definedName name="China_ShanghaiCos">#REF!</definedName>
    <definedName name="China_ShanghaiPierburg">#REF!</definedName>
    <definedName name="china_si">#REF!</definedName>
    <definedName name="CHIPS">#REF!</definedName>
    <definedName name="chiyoko">#REF!</definedName>
    <definedName name="CHKGSTD1_Click">#N/A</definedName>
    <definedName name="CHKGSTD2_Click">#N/A</definedName>
    <definedName name="CHKGSTD3_Click">#N/A</definedName>
    <definedName name="chl_candy">#REF!</definedName>
    <definedName name="chl_gum">#REF!</definedName>
    <definedName name="CHLPL">#REF!</definedName>
    <definedName name="Choices_Wrapper">#N/A</definedName>
    <definedName name="chosie" hidden="1">{#N/A,#N/A,FALSE,"Pharm";#N/A,#N/A,FALSE,"WWCM"}</definedName>
    <definedName name="chotu">#REF!</definedName>
    <definedName name="CHRYSLER15">#REF!</definedName>
    <definedName name="chung">66</definedName>
    <definedName name="CIAO" hidden="1">{"'OBT_6M_30_6'!$S$1:$AE$53"}</definedName>
    <definedName name="ciao2" hidden="1">{"'OBT_6M_30_6'!$S$1:$AE$53"}</definedName>
    <definedName name="CICCIO" hidden="1">{"'OBT_6M_30_6'!$S$1:$AE$53"}</definedName>
    <definedName name="CIF">#REF!</definedName>
    <definedName name="CIGA">#REF!</definedName>
    <definedName name="CIQWBGuid" hidden="1">"516ea845-8055-4f5e-833c-a189e9e34f16"</definedName>
    <definedName name="cisco_dscnt">#REF!</definedName>
    <definedName name="cit">#REF!</definedName>
    <definedName name="CITI_CC">#REF!</definedName>
    <definedName name="CITI_COLL">#REF!</definedName>
    <definedName name="City">#REF!</definedName>
    <definedName name="CITY__STATE__ZIP">#REF!</definedName>
    <definedName name="City_St_Zip">#REF!</definedName>
    <definedName name="CityData">#REF!</definedName>
    <definedName name="CIW">#REF!</definedName>
    <definedName name="CJAQN">#REF!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L">#REF!</definedName>
    <definedName name="CL_plan_purchase">#REF!</definedName>
    <definedName name="CLAIM">3</definedName>
    <definedName name="clause10">#REF!</definedName>
    <definedName name="CLAUSE13">#REF!</definedName>
    <definedName name="CLAUSE13b">#REF!</definedName>
    <definedName name="clause14">#REF!</definedName>
    <definedName name="clause14d">#REF!</definedName>
    <definedName name="clause15">#REF!</definedName>
    <definedName name="clause16b">#REF!</definedName>
    <definedName name="clause17a">#REF!</definedName>
    <definedName name="clause17B">#REF!</definedName>
    <definedName name="clause17C">#REF!</definedName>
    <definedName name="CLAUSE17D">#REF!</definedName>
    <definedName name="clause17E">#REF!</definedName>
    <definedName name="clause17F">#REF!</definedName>
    <definedName name="clause17h">#REF!</definedName>
    <definedName name="clause17K">#REF!</definedName>
    <definedName name="clause18">#REF!</definedName>
    <definedName name="clause2.7togo">#REF!</definedName>
    <definedName name="CLAUSE20">#REF!</definedName>
    <definedName name="clause21">#REF!</definedName>
    <definedName name="CLAUSE22A">#REF!</definedName>
    <definedName name="CLAUSE22B">#REF!</definedName>
    <definedName name="clause23">#REF!</definedName>
    <definedName name="clause24">#REF!</definedName>
    <definedName name="clause24b">#REF!</definedName>
    <definedName name="clause25">#REF!</definedName>
    <definedName name="clause26">#REF!</definedName>
    <definedName name="clause27">#REF!</definedName>
    <definedName name="clause28">#REF!</definedName>
    <definedName name="clause28b">#REF!</definedName>
    <definedName name="clcvkkffzbvndzs" hidden="1">#REF!</definedName>
    <definedName name="cle">#REF!</definedName>
    <definedName name="CLEAR">#REF!</definedName>
    <definedName name="Clear_data_input">#N/A</definedName>
    <definedName name="CLIAB">#REF!</definedName>
    <definedName name="CLIENT">#REF!</definedName>
    <definedName name="Client_data">#REF!</definedName>
    <definedName name="ClientName">#REF!</definedName>
    <definedName name="Clip_9.4_Spl_Stl">#REF!</definedName>
    <definedName name="closeday">#REF!</definedName>
    <definedName name="Closing">32233</definedName>
    <definedName name="CLOSING_BLOCK">#REF!</definedName>
    <definedName name="Closing_Month">#REF!</definedName>
    <definedName name="CLOSING1">32201</definedName>
    <definedName name="CLOSING2">32233</definedName>
    <definedName name="CLOSING3">32333</definedName>
    <definedName name="CLOSINGRATE">#REF!</definedName>
    <definedName name="clrate">#REF!</definedName>
    <definedName name="clrfokfvbg" hidden="1">{"'OBT_6M_30_6'!$S$1:$AE$53"}</definedName>
    <definedName name="CLT">#REF!,#REF!</definedName>
    <definedName name="clubbing_income">#REF!</definedName>
    <definedName name="CM">#REF!</definedName>
    <definedName name="cma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cmb_A_GEN1.AsseseeRepFlg">#REF!</definedName>
    <definedName name="cmb_A_GEN1.FBTSec">#REF!</definedName>
    <definedName name="cmb_A_GEN1.IncomeTaxSec">#REF!</definedName>
    <definedName name="cmb_A_GEN1.NRI_PE">#REF!</definedName>
    <definedName name="cmb_A_GEN1.ResidentialStatus">#REF!</definedName>
    <definedName name="cmb_A_GEN1.ReturnType">#REF!</definedName>
    <definedName name="cmb_A_GEN1.StateCode">#REF!</definedName>
    <definedName name="cmb_A_GEN1.StatusOrCompanyType">#REF!</definedName>
    <definedName name="cmb_A_GEN2.LiableSec44AAflg">#REF!</definedName>
    <definedName name="cmb_A_GEN2.LiableSec44ABflg">#REF!</definedName>
    <definedName name="cmb_DDT.RateDividPrevYrType">#REF!</definedName>
    <definedName name="cmb_FBI.EmployeesInOutIndiaFlg">#REF!</definedName>
    <definedName name="cmb_FBI.SeparateAcntMaintainForIndiaForeignFlg">#REF!</definedName>
    <definedName name="cmb_HP.ifLetOut1">#REF!</definedName>
    <definedName name="cmb_HP.StateCode1">#REF!</definedName>
    <definedName name="cmb_NOB.Code">#REF!</definedName>
    <definedName name="cmb_OI.ChangeInAcctMethFlg">#REF!</definedName>
    <definedName name="cmb_OI.MethodOfAcct">#REF!</definedName>
    <definedName name="cmb_OIMethodofValClgStk.ChngStockValMetFlg">#REF!</definedName>
    <definedName name="cmb_OIMethodofValClgStk.ValFinishedGoods">#REF!</definedName>
    <definedName name="cmb_OIMethodofValClgStk.ValRawMaterial">#REF!</definedName>
    <definedName name="cmb_PAGBU2.BusOrgType">#REF!</definedName>
    <definedName name="cmb_PAGH2.NatOfCompFlg">#REF!</definedName>
    <definedName name="cmb_PAGH2.StateCode">#REF!</definedName>
    <definedName name="cmb_PAGNA2.PubSectCompUs2_36AFlg">#REF!</definedName>
    <definedName name="cmb_PAGS2.StateCode">#REF!</definedName>
    <definedName name="cmb_Per10080G.StateCode">#REF!</definedName>
    <definedName name="cmb_Per5080G.StateCode">#REF!</definedName>
    <definedName name="cmb_PerNO5080G.StateCode">#REF!</definedName>
    <definedName name="cmb_PMChange.PrevYrMemPartChange">#REF!</definedName>
    <definedName name="cmb_PMInfo.StateCode">#REF!</definedName>
    <definedName name="cmb_QDFinishrByProd.UnitOfMeasure">#REF!</definedName>
    <definedName name="cmb_QDRawMaterial.UnitOfMeasure">#REF!</definedName>
    <definedName name="cmb_QDTradingConcern.UnitOfMeasure">#REF!</definedName>
    <definedName name="cmb_SI.SecCode">#REF!</definedName>
    <definedName name="cmb_SI.SplRatePercent">#REF!</definedName>
    <definedName name="cmb_TCS.StateCode">#REF!</definedName>
    <definedName name="cmb_TDS2.StateCode">#REF!</definedName>
    <definedName name="CMBL">#REF!</definedName>
    <definedName name="cmbyn">#REF!</definedName>
    <definedName name="CMCM" hidden="1">{#N/A,#N/A,FALSE,"FINAL"}</definedName>
    <definedName name="CMDO">#REF!,#REF!</definedName>
    <definedName name="cmdOK2_click">#REF!</definedName>
    <definedName name="CMGPL">#REF!</definedName>
    <definedName name="CMH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jpn">#REF!</definedName>
    <definedName name="CMNOI">#REF!</definedName>
    <definedName name="CMPL">#REF!</definedName>
    <definedName name="CMPPL">#REF!</definedName>
    <definedName name="cmpSpoolPath">"K:\compleo\Reports\00000006.txt"</definedName>
    <definedName name="cmth">#REF!</definedName>
    <definedName name="cncncn" hidden="1">{"'BGT2001'!$A$1:$AE$112"}</definedName>
    <definedName name="CNS_OTC">#REF!</definedName>
    <definedName name="CNSTotal">#REF!</definedName>
    <definedName name="Co">#REF!</definedName>
    <definedName name="Co_Act_Calculated_life">#REF!</definedName>
    <definedName name="CO_ASSUM">#REF!</definedName>
    <definedName name="COA">#REF!</definedName>
    <definedName name="CoAdd">#REF!</definedName>
    <definedName name="coal.sale">#REF!</definedName>
    <definedName name="Coal_consn.">#REF!</definedName>
    <definedName name="coal_receipt">#REF!</definedName>
    <definedName name="COAT">#REF!</definedName>
    <definedName name="COBillingAccount">#REF!</definedName>
    <definedName name="coc">#REF!</definedName>
    <definedName name="cochinassest" hidden="1">{#N/A,#N/A,FALSE,"Aging Summary";#N/A,#N/A,FALSE,"Ratio Analysis";#N/A,#N/A,FALSE,"Test 120 Day Accts";#N/A,#N/A,FALSE,"Tickmarks"}</definedName>
    <definedName name="cochinassest_1" hidden="1">{#N/A,#N/A,FALSE,"Aging Summary";#N/A,#N/A,FALSE,"Ratio Analysis";#N/A,#N/A,FALSE,"Test 120 Day Accts";#N/A,#N/A,FALSE,"Tickmarks"}</definedName>
    <definedName name="COCity">#REF!</definedName>
    <definedName name="COCountry">#REF!</definedName>
    <definedName name="Codamin">#REF!</definedName>
    <definedName name="Codamin_Plus">#REF!</definedName>
    <definedName name="code">#N/A</definedName>
    <definedName name="Code_key">#REF!</definedName>
    <definedName name="Code_key_13">#REF!</definedName>
    <definedName name="Code_key_21">#REF!</definedName>
    <definedName name="Code_Structure">#REF!</definedName>
    <definedName name="codeDestination">#REF!</definedName>
    <definedName name="CODELK_Path">#REF!</definedName>
    <definedName name="codeLstart">#REF!</definedName>
    <definedName name="Codes">#REF!</definedName>
    <definedName name="CODescription">#REF!</definedName>
    <definedName name="codeSstart">#REF!</definedName>
    <definedName name="COFax">#REF!</definedName>
    <definedName name="COFirstname">#REF!</definedName>
    <definedName name="COGR">#REF!</definedName>
    <definedName name="COGS_Jan04">#REF!</definedName>
    <definedName name="COGSActM10Y1">#REF!</definedName>
    <definedName name="COGSActM10Y2">#REF!</definedName>
    <definedName name="COGSActM11Y1">#REF!</definedName>
    <definedName name="COGSActM11Y2">#REF!</definedName>
    <definedName name="COGSActM12Y1">#REF!</definedName>
    <definedName name="COGSActM12Y2">#REF!</definedName>
    <definedName name="COGSActM1Y1">#REF!</definedName>
    <definedName name="COGSActM1Y2">#REF!</definedName>
    <definedName name="COGSActM2Y1">#REF!</definedName>
    <definedName name="COGSActM2Y2">#REF!</definedName>
    <definedName name="COGSActM3Y1">#REF!</definedName>
    <definedName name="COGSActM4Y1">#REF!</definedName>
    <definedName name="COGSActM4Y2">#REF!</definedName>
    <definedName name="COGSActM5Y1">#REF!</definedName>
    <definedName name="COGSActM5Y2">#REF!</definedName>
    <definedName name="COGSActM6Y1">#REF!</definedName>
    <definedName name="COGSActM6Y2">#REF!</definedName>
    <definedName name="COGSActM7Y1">#REF!</definedName>
    <definedName name="COGSActM7Y2">#REF!</definedName>
    <definedName name="COGSActM8Y1">#REF!</definedName>
    <definedName name="COGSActM8Y2">#REF!</definedName>
    <definedName name="COGSActM9Y1">#REF!</definedName>
    <definedName name="COGSActM9Y2">#REF!</definedName>
    <definedName name="COGSFcstM10Y1">#REF!</definedName>
    <definedName name="COGSFcstM10Y2">#REF!</definedName>
    <definedName name="COGSFcstM11Y1">#REF!</definedName>
    <definedName name="COGSFcstM11Y2">#REF!</definedName>
    <definedName name="COGSFcstM12Y1">#REF!</definedName>
    <definedName name="COGSFcstM12Y2">#REF!</definedName>
    <definedName name="COGSFcstM1Y1">#REF!</definedName>
    <definedName name="COGSFcstM1Y2">#REF!</definedName>
    <definedName name="COGSFcstM2Y1">#REF!</definedName>
    <definedName name="COGSFcstM2Y2">#REF!</definedName>
    <definedName name="COGSFcstM3Y1">#REF!</definedName>
    <definedName name="COGSFcstM3Y2">#REF!</definedName>
    <definedName name="COGSFcstM4Y1">#REF!</definedName>
    <definedName name="COGSFcstM4Y2">#REF!</definedName>
    <definedName name="COGSFcstM5Y1">#REF!</definedName>
    <definedName name="COGSFcstM5Y2">#REF!</definedName>
    <definedName name="COGSFcstM6Y1">#REF!</definedName>
    <definedName name="COGSFcstM6Y2">#REF!</definedName>
    <definedName name="COGSFcstM7Y1">#REF!</definedName>
    <definedName name="COGSFcstM7Y2">#REF!</definedName>
    <definedName name="COGSFcstM8Y1">#REF!</definedName>
    <definedName name="COGSFcstM8Y2">#REF!</definedName>
    <definedName name="COGSFcstM9Y1">#REF!</definedName>
    <definedName name="COGSFcstM9Y2">#REF!</definedName>
    <definedName name="COGstandard" hidden="1">{#N/A,#N/A,FALSE,"Pharm";#N/A,#N/A,FALSE,"WWCM"}</definedName>
    <definedName name="COI">#REF!</definedName>
    <definedName name="coimbatore">#REF!</definedName>
    <definedName name="COLanguage">#REF!</definedName>
    <definedName name="COLastname">#REF!</definedName>
    <definedName name="collateral_payments">#REF!</definedName>
    <definedName name="collection">#REF!</definedName>
    <definedName name="ColumnHeading">#REF!</definedName>
    <definedName name="COM">#REF!</definedName>
    <definedName name="COM11D">#REF!</definedName>
    <definedName name="COM20D">#REF!</definedName>
    <definedName name="COMERCIALES">#REF!</definedName>
    <definedName name="COMM" hidden="1">{"'Mach'!$A$1:$D$39"}</definedName>
    <definedName name="Commercial_IRD_per_Disbn_sys">#REF!</definedName>
    <definedName name="COMMIT_PHARMA">#REF!</definedName>
    <definedName name="COMMON">#REF!</definedName>
    <definedName name="COMMONEQ">#REF!</definedName>
    <definedName name="COMMONEQ1">#REF!</definedName>
    <definedName name="COMMT_BANKS">#REF!</definedName>
    <definedName name="COMMUNICATION_EQUIPMENT">#REF!</definedName>
    <definedName name="COMMUNITY_PARTNERSHIP">#REF!,#REF!</definedName>
    <definedName name="comp">#REF!</definedName>
    <definedName name="comp_data_2001_TABLES_List">#REF!</definedName>
    <definedName name="COMP_EMP_HOUSE">#REF!</definedName>
    <definedName name="COMP_VOLUME_PRICE_VALUE">#REF!</definedName>
    <definedName name="COMP_VOUME_YARN">#REF!</definedName>
    <definedName name="comp1">#REF!</definedName>
    <definedName name="comp2">#REF!</definedName>
    <definedName name="comp200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anies">#REF!</definedName>
    <definedName name="Company">#REF!</definedName>
    <definedName name="COMPANY_NAME">#REF!</definedName>
    <definedName name="Company98">#REF!</definedName>
    <definedName name="Comparative_Sales_Analysis_Business_Manager_Wise_Product_wise_for_the_year_L_E_2005_Vs_Budget_2006__First_Cut">#REF!</definedName>
    <definedName name="Comparative_Sales_Analysis_Business_Manger_wise_Region_wise__Product_wise___for_the_year_L_E_2005_Vs_Budget_2006__First_Cut">#REF!</definedName>
    <definedName name="Comparative_Sales_Analysis_Product_wise_for_the_year_2004_Vs._L_E_2005">#REF!</definedName>
    <definedName name="Comparative_Sales_Analysis_Product_wise_for_the_year_L_E_2006_Vs_Budget_2006__First_Cut">#REF!</definedName>
    <definedName name="comparativo">#REF!</definedName>
    <definedName name="COMPARISION">#REF!</definedName>
    <definedName name="COMPARISON_PSD_PLAN">#REF!</definedName>
    <definedName name="COMPARISON_PSD_PLAN_II">#REF!</definedName>
    <definedName name="Compartive_Sales_Analysis_Business_Manger_wise_Product_wise__Region_wise___for_the_year_L_E_2006_Vs_Budget_2006__First_Cut">#REF!</definedName>
    <definedName name="Compartive_Sales_Analysis_for_Major_Products_for_the_year_L_E_2006_Vs_Budget_2006__First_Cut">#REF!</definedName>
    <definedName name="Compartive_Sales_Analysis_Product_wise__Business_Manger_wise__for_the_year_L_E_2006_Vs_Budget_2006__First_Cut">#REF!</definedName>
    <definedName name="Compartive_Sales_Analysis_Product_wise__Regionwise__for_the_year_L_E_2006_Vs_Budget_2006__First_Cut">#REF!</definedName>
    <definedName name="Compensation_Revenue">#REF!</definedName>
    <definedName name="COMPET">#REF!</definedName>
    <definedName name="COMPET_MODEL">#REF!</definedName>
    <definedName name="compound">#REF!</definedName>
    <definedName name="Compu.Maint.">#REF!</definedName>
    <definedName name="COMPUTATION">#REF!</definedName>
    <definedName name="COMPUTATION_OF_INTEREST_UNDER_SECTION_234_C">#REF!</definedName>
    <definedName name="COMPUTER___ACESSORIES">#REF!</definedName>
    <definedName name="ComputerMaint">#REF!</definedName>
    <definedName name="Computers">#REF!</definedName>
    <definedName name="Computerstationery">#REF!</definedName>
    <definedName name="COMS2Q2">#REF!</definedName>
    <definedName name="COMS2Q2_4">#REF!</definedName>
    <definedName name="COMS3Q2">#REF!</definedName>
    <definedName name="COMS3Q2_4">#REF!</definedName>
    <definedName name="CON">#REF!</definedName>
    <definedName name="CON_EQP_COS">#REF!</definedName>
    <definedName name="CON_EQP_COST">#REF!</definedName>
    <definedName name="Con_File">"LBOC_1"</definedName>
    <definedName name="CON_GC1">#REF!</definedName>
    <definedName name="CON_GC2">#REF!</definedName>
    <definedName name="CON_GM1">#REF!</definedName>
    <definedName name="CON_GM2">#REF!</definedName>
    <definedName name="CON_NC1">#REF!</definedName>
    <definedName name="CON_NC2">#REF!</definedName>
    <definedName name="CON_NM1">#REF!</definedName>
    <definedName name="CON_NM2">#REF!</definedName>
    <definedName name="COName">#REF!</definedName>
    <definedName name="CONC25">#REF!</definedName>
    <definedName name="CONC30">#REF!</definedName>
    <definedName name="concac">#REF!</definedName>
    <definedName name="concats">#REF!</definedName>
    <definedName name="Concern">#REF!</definedName>
    <definedName name="CONCON">#REF!</definedName>
    <definedName name="concost">#REF!</definedName>
    <definedName name="CONCS25">#REF!</definedName>
    <definedName name="CONCS30">#REF!</definedName>
    <definedName name="CONDBS">#REF!</definedName>
    <definedName name="CONDIS">#REF!</definedName>
    <definedName name="conf_balamended" hidden="1">{#N/A,#N/A,FALSE,"PMTABB";#N/A,#N/A,FALSE,"PMTABB"}</definedName>
    <definedName name="conf_balamended_1" hidden="1">{#N/A,#N/A,FALSE,"PMTABB";#N/A,#N/A,FALSE,"PMTABB"}</definedName>
    <definedName name="conf_balamended_2" hidden="1">{#N/A,#N/A,FALSE,"PMTABB";#N/A,#N/A,FALSE,"PMTABB"}</definedName>
    <definedName name="conf_balamended_3" hidden="1">{#N/A,#N/A,FALSE,"PMTABB";#N/A,#N/A,FALSE,"PMTABB"}</definedName>
    <definedName name="conf_balamended_4" hidden="1">{#N/A,#N/A,FALSE,"PMTABB";#N/A,#N/A,FALSE,"PMTABB"}</definedName>
    <definedName name="config">#REF!</definedName>
    <definedName name="Confused" hidden="1">#REF!</definedName>
    <definedName name="Cong_HM_DTCT">#REF!</definedName>
    <definedName name="Cong_M_DTCT">#REF!</definedName>
    <definedName name="Cong_NC_DTCT">#REF!</definedName>
    <definedName name="Cong_VL_DTCT">#REF!</definedName>
    <definedName name="Connectors">#REF!</definedName>
    <definedName name="CONNECTSTRING1">#REF!</definedName>
    <definedName name="CONNECTSTRING2">#REF!</definedName>
    <definedName name="CONNECTSTRING3">#REF!</definedName>
    <definedName name="CONS">#REF!</definedName>
    <definedName name="CONSOL">#REF!</definedName>
    <definedName name="Consolidate_Answer">#REF!</definedName>
    <definedName name="Consolidate_Division_1">#REF!</definedName>
    <definedName name="Consolidate_Division_2">#REF!</definedName>
    <definedName name="Consolidate_Division_3">#REF!</definedName>
    <definedName name="Consolidate_Division_4">#REF!</definedName>
    <definedName name="Consolidate_Division_5">#REF!</definedName>
    <definedName name="Consolidate_Division_6">#REF!</definedName>
    <definedName name="Consolidate_Division_7">#REF!</definedName>
    <definedName name="Consolidate_Division_8">#REF!</definedName>
    <definedName name="Consolidate_Division_9">#REF!</definedName>
    <definedName name="consolidated">#REF!</definedName>
    <definedName name="Consolidated_4">#REF!</definedName>
    <definedName name="Consolidation">#REF!</definedName>
    <definedName name="Consolidations">#REF!</definedName>
    <definedName name="CONST_EQ">#REF!</definedName>
    <definedName name="CONSTR">#REF!</definedName>
    <definedName name="constrn">#REF!</definedName>
    <definedName name="consumable">#REF!</definedName>
    <definedName name="consumables">#REF!</definedName>
    <definedName name="consumption">#REF!</definedName>
    <definedName name="CONSUN_04" hidden="1">{"'OBT_6M_30_6'!$S$1:$AE$53"}</definedName>
    <definedName name="cont">#REF!</definedName>
    <definedName name="CONTACTS">#REF!</definedName>
    <definedName name="Contents">#REF!</definedName>
    <definedName name="CONTINUE">#REF!</definedName>
    <definedName name="CONTINUITY">#REF!</definedName>
    <definedName name="CONTOA" hidden="1">{#N/A,#N/A,FALSE,"Cover";#N/A,#N/A,FALSE,"Profits";#N/A,#N/A,FALSE,"ABS";#N/A,#N/A,FALSE,"TFLE Detail";#N/A,#N/A,FALSE,"TFLE Walk";#N/A,#N/A,FALSE,"Variable Cost";#N/A,#N/A,FALSE,"V.C. Walk"}</definedName>
    <definedName name="Contract">#REF!</definedName>
    <definedName name="Contracted_Price">#REF!</definedName>
    <definedName name="contractor">#REF!</definedName>
    <definedName name="CONTROL">#REF!</definedName>
    <definedName name="CONTROLLER_DATAENTRY">"ICAC!$A$1"</definedName>
    <definedName name="CONTROLLERFDOPTION.VIEWABLE_RANGE_LRC.35373A38">"A1"</definedName>
    <definedName name="CONTROLLERFDOPTION.VIEWABLE_RANGE_ULC.353A34">#N/A</definedName>
    <definedName name="Conv.Chgs">#REF!</definedName>
    <definedName name="CONVAL">#N/A</definedName>
    <definedName name="CONVERSION">#REF!</definedName>
    <definedName name="Conveyance">#REF!</definedName>
    <definedName name="copa_sch6">OFFSET(#REF!,0,0,COUNTA(#REF!),COUNTA(#REF!))</definedName>
    <definedName name="COPhone1">#REF!</definedName>
    <definedName name="COPhone2">#REF!</definedName>
    <definedName name="COPM">#REF!</definedName>
    <definedName name="COPricingZone">#REF!</definedName>
    <definedName name="COPY" hidden="1">{#N/A,#N/A,FALSE,"Pharm";#N/A,#N/A,FALSE,"WWCM"}</definedName>
    <definedName name="copy1" hidden="1">{#N/A,#N/A,FALSE,"Pharm";#N/A,#N/A,FALSE,"WWCM"}</definedName>
    <definedName name="COPY2" hidden="1">{#N/A,#N/A,FALSE,"Pharm";#N/A,#N/A,FALSE,"WWCM"}</definedName>
    <definedName name="copy233" hidden="1">{#N/A,#N/A,FALSE,"Pharm";#N/A,#N/A,FALSE,"WWCM"}</definedName>
    <definedName name="copy33" hidden="1">{#N/A,#N/A,FALSE,"Pharm";#N/A,#N/A,FALSE,"WWCM"}</definedName>
    <definedName name="copy38" hidden="1">{#N/A,#N/A,FALSE,"Pharm";#N/A,#N/A,FALSE,"WWCM"}</definedName>
    <definedName name="COQuoteIdDesc">#REF!</definedName>
    <definedName name="Core">#REF!</definedName>
    <definedName name="Core___Seal_Asy_Heater">#REF!</definedName>
    <definedName name="CORegion">#REF!</definedName>
    <definedName name="corp.Data">#N/A</definedName>
    <definedName name="corp.DataPT">#N/A</definedName>
    <definedName name="corp.Debits">#N/A</definedName>
    <definedName name="corp.Description">#N/A</definedName>
    <definedName name="corp.Ending_Balance">#N/A</definedName>
    <definedName name="CORP_CC">#REF!</definedName>
    <definedName name="corp_cy.Credits">#N/A</definedName>
    <definedName name="corp_cy.Data">#N/A</definedName>
    <definedName name="corp_cy.DataPT">#N/A</definedName>
    <definedName name="corp_cy.Debits">#N/A</definedName>
    <definedName name="corp_cy.Description">#N/A</definedName>
    <definedName name="corp_cy.Ending_Balance">#N/A</definedName>
    <definedName name="CORP_OCT_98">#REF!</definedName>
    <definedName name="corp_py.Credits">#N/A</definedName>
    <definedName name="corp_py.Data">#N/A</definedName>
    <definedName name="corp_py.DataPT">#N/A</definedName>
    <definedName name="corp_py.Debits">#N/A</definedName>
    <definedName name="corp_py.Description">#N/A</definedName>
    <definedName name="corp_py.Ending_Balance">#N/A</definedName>
    <definedName name="CORPI">#REF!</definedName>
    <definedName name="CORPORATE">#REF!</definedName>
    <definedName name="COS">#N/A</definedName>
    <definedName name="COS_UC">#N/A</definedName>
    <definedName name="COST">#REF!</definedName>
    <definedName name="cost_calcn">#REF!</definedName>
    <definedName name="Cost_Center">#REF!</definedName>
    <definedName name="COST_OF_SALES">#REF!</definedName>
    <definedName name="Cost_of_Vacancy_of_Sales_and_Service_Employees">#REF!</definedName>
    <definedName name="CoStatus">#REF!</definedName>
    <definedName name="costcentre">#REF!</definedName>
    <definedName name="CostM10ActY1">#REF!</definedName>
    <definedName name="CostM10ActY2">#REF!</definedName>
    <definedName name="CostM10Fcst">#REF!</definedName>
    <definedName name="CostM10FcstY2">#REF!</definedName>
    <definedName name="CostM11ActY1">#REF!</definedName>
    <definedName name="CostM11ActY2">#REF!</definedName>
    <definedName name="CostM11Fcst">#REF!</definedName>
    <definedName name="CostM11FcstY2">#REF!</definedName>
    <definedName name="CostM12ActY1">#REF!</definedName>
    <definedName name="CostM12ActY2">#REF!</definedName>
    <definedName name="CostM12Fcst">#REF!</definedName>
    <definedName name="CostM12FcstY2">#REF!</definedName>
    <definedName name="CostM1ActY1">#REF!</definedName>
    <definedName name="CostM1ActY2">#REF!</definedName>
    <definedName name="CostM1Fcst">#REF!</definedName>
    <definedName name="CostM1FcstY2">#REF!</definedName>
    <definedName name="CostM2ActY1">#REF!</definedName>
    <definedName name="CostM2ActY2">#REF!</definedName>
    <definedName name="CostM2Fcst">#REF!</definedName>
    <definedName name="CostM2FcstY2">#REF!</definedName>
    <definedName name="CostM3ActY1">#REF!</definedName>
    <definedName name="CostM3ActY2">#REF!</definedName>
    <definedName name="CostM3Fcst">#REF!</definedName>
    <definedName name="CostM3FcstY2">#REF!</definedName>
    <definedName name="CostM4ActY1">#REF!</definedName>
    <definedName name="CostM4ActY2">#REF!</definedName>
    <definedName name="CostM4Fcst">#REF!</definedName>
    <definedName name="CostM4FcstY2">#REF!</definedName>
    <definedName name="CostM5ActY1">#REF!</definedName>
    <definedName name="CostM5ActY2">#REF!</definedName>
    <definedName name="CostM5Fcst">#REF!</definedName>
    <definedName name="CostM5FcstY2">#REF!</definedName>
    <definedName name="CostM6ActY1">#REF!</definedName>
    <definedName name="CostM6ActY2">#REF!</definedName>
    <definedName name="CostM6Fcst">#REF!</definedName>
    <definedName name="CostM6FcstY2">#REF!</definedName>
    <definedName name="CostM7ActY1">#REF!</definedName>
    <definedName name="CostM7ActY2">#REF!</definedName>
    <definedName name="CostM7Fcst">#REF!</definedName>
    <definedName name="CostM7FcstY2">#REF!</definedName>
    <definedName name="CostM8ActY1">#REF!</definedName>
    <definedName name="CostM8ActY2">#REF!</definedName>
    <definedName name="CostM8Fcst">#REF!</definedName>
    <definedName name="CostM8FcstY2">#REF!</definedName>
    <definedName name="CostM9ActY1">#REF!</definedName>
    <definedName name="CostM9ActY2">#REF!</definedName>
    <definedName name="CostM9Fcst">#REF!</definedName>
    <definedName name="CostM9FcstY2">#REF!</definedName>
    <definedName name="costpervehicle">#REF!</definedName>
    <definedName name="COStreet1">#REF!</definedName>
    <definedName name="COStreet2">#REF!</definedName>
    <definedName name="COStreet3">#REF!</definedName>
    <definedName name="Costsaving">#REF!</definedName>
    <definedName name="cot7.5">#REF!</definedName>
    <definedName name="cot8.5">#REF!</definedName>
    <definedName name="COTitle">#REF!</definedName>
    <definedName name="COType">#REF!</definedName>
    <definedName name="COUNTER">#REF!</definedName>
    <definedName name="Country">#REF!</definedName>
    <definedName name="Country_dropdown">#REF!</definedName>
    <definedName name="Country_Name">"Q2merge"</definedName>
    <definedName name="CountryContHourly">#REF!</definedName>
    <definedName name="CountryContNonExempt">#REF!</definedName>
    <definedName name="CountryIRate">#REF!</definedName>
    <definedName name="CountryRegExempt">#REF!</definedName>
    <definedName name="CountryRegHourly">#REF!</definedName>
    <definedName name="CountryRegNonExempt">#REF!</definedName>
    <definedName name="CountrySvcNonGEBaseExempt">#REF!</definedName>
    <definedName name="CountrySvcNonGEBaseNonExempt">#REF!</definedName>
    <definedName name="CountrySvcNonGEVarExempt">#REF!</definedName>
    <definedName name="CountrySvcNonGEVarNonExempt">#REF!</definedName>
    <definedName name="CountrySvcRegBaseExempt">#REF!</definedName>
    <definedName name="CountrySvcRegBaseNonExempt">#REF!</definedName>
    <definedName name="CountrySvcRegVarExempt">#REF!</definedName>
    <definedName name="CountrySvcRegVarNonExempt">#REF!</definedName>
    <definedName name="Couriercharges">#REF!</definedName>
    <definedName name="COUserFax">#REF!</definedName>
    <definedName name="COUserName">#REF!</definedName>
    <definedName name="COUserPhone1">#REF!</definedName>
    <definedName name="COUserPhone2">#REF!</definedName>
    <definedName name="covbookfield">#REF!</definedName>
    <definedName name="cover">#REF!</definedName>
    <definedName name="COVG_LETT">#REF!</definedName>
    <definedName name="COZipCode">#REF!</definedName>
    <definedName name="cpc">#REF!</definedName>
    <definedName name="cpdd1">#REF!</definedName>
    <definedName name="cpdd2">#REF!</definedName>
    <definedName name="CPEcost">#REF!</definedName>
    <definedName name="CPNL">#REF!</definedName>
    <definedName name="CPPPL">#REF!</definedName>
    <definedName name="CPT">#REF!</definedName>
    <definedName name="CQA">#REF!</definedName>
    <definedName name="cr">10000000</definedName>
    <definedName name="cr_04_07_to_10_07_2004_collection">#REF!</definedName>
    <definedName name="cr_230cr_cr230">#REF!</definedName>
    <definedName name="Cr_Acct">#REF!</definedName>
    <definedName name="cr_knnl_mrbc_ron">#REF!</definedName>
    <definedName name="CR3RT">#REF!</definedName>
    <definedName name="CR3RTDK">#REF!</definedName>
    <definedName name="CR5RTDK">#REF!</definedName>
    <definedName name="crador" hidden="1">{"'kpi2-1'!$E$4"}</definedName>
    <definedName name="CRE">#REF!</definedName>
    <definedName name="CREATESUMMARYJNLS1">#REF!</definedName>
    <definedName name="CREATESUMMARYJNLS2">#REF!</definedName>
    <definedName name="CREATESUMMARYJNLS3">#REF!</definedName>
    <definedName name="Credit">#REF!</definedName>
    <definedName name="CREDIT_PERIOD">#REF!</definedName>
    <definedName name="creditor">#REF!</definedName>
    <definedName name="CREDITOR1">#REF!</definedName>
    <definedName name="creditors">#REF!</definedName>
    <definedName name="Creditors_2">#REF!</definedName>
    <definedName name="credotor">#REF!</definedName>
    <definedName name="Cres_24">#REF!</definedName>
    <definedName name="Cres_36">#REF!</definedName>
    <definedName name="CRIT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xlnm.Criteria">#REF!</definedName>
    <definedName name="Criteria_MI">#REF!</definedName>
    <definedName name="CRITERIACOLUMN1">#REF!</definedName>
    <definedName name="CRITERIACOLUMN2">#REF!</definedName>
    <definedName name="CRITERIACOLUMN3">#REF!</definedName>
    <definedName name="CRITICAL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NST">#REF!</definedName>
    <definedName name="CRITPURC">#REF!</definedName>
    <definedName name="crore">10000000</definedName>
    <definedName name="Crores">10000000</definedName>
    <definedName name="CROWN">#REF!</definedName>
    <definedName name="CROWS">#REF!</definedName>
    <definedName name="CRP">#REF!</definedName>
    <definedName name="CRRM">#REF!</definedName>
    <definedName name="CRT">#REF!</definedName>
    <definedName name="Crystal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a" hidden="1">{"TXO2N2_GP",#N/A,FALSE,"MTHLYGP";"TXH2_GP",#N/A,FALSE,"MTHLYGP";"LOUIS_GP",#N/A,FALSE,"MTHLYGP";"H2_GP",#N/A,FALSE,"MTHLYGP";"O2N2_GP",#N/A,FALSE,"MTHLYGP";"PACKAGE_GP",#N/A,FALSE,"MTHLYGP";"OTHER_GP",#N/A,FALSE,"MTHLYGP"}</definedName>
    <definedName name="csAllowDetailBudgeting">1</definedName>
    <definedName name="csAllowLocalConsolidation">1</definedName>
    <definedName name="csAppName">"BudgetWeb"</definedName>
    <definedName name="CSCity">#REF!</definedName>
    <definedName name="CSCountry">#REF!</definedName>
    <definedName name="csDesignMode">1</definedName>
    <definedName name="csDetailBudgetingURL">"http://server/deciweb/tr/trmain.asp?App=BudgetWeb&amp;Cat=Detail+Budgeting"</definedName>
    <definedName name="Csdfs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SH_INT">#REF!</definedName>
    <definedName name="CSHFLW_NTS_FIN">#REF!</definedName>
    <definedName name="csKeepAlive">480</definedName>
    <definedName name="csLocalConsolidationOnSubmit">1</definedName>
    <definedName name="CSName">#REF!</definedName>
    <definedName name="csos">#REF!</definedName>
    <definedName name="CSPhone">#REF!</definedName>
    <definedName name="CSPivot_Changeover">#REF!</definedName>
    <definedName name="CSPivot_Current">#REF!</definedName>
    <definedName name="CSPivot_Prior">#REF!</definedName>
    <definedName name="CSPL">#REF!</definedName>
    <definedName name="csRefreshOnOpen">0</definedName>
    <definedName name="csRefreshOnRotate">1</definedName>
    <definedName name="CSRegion">#REF!</definedName>
    <definedName name="csROU_DE_Budget__Med_DIM__Dim01">"="</definedName>
    <definedName name="csROU_DE_Budget__Med_DIM__Dim03">"="</definedName>
    <definedName name="csROU_DE_Budget__Uden_DIM__Dim01">"="</definedName>
    <definedName name="csROU_DE_Budget__Uden_DIM__Dim02">"="</definedName>
    <definedName name="csROU_DE_Budget__Uden_DIM__Dim07">"="</definedName>
    <definedName name="csROU_DE_Budget__Uden_DIM__Dim09">"="</definedName>
    <definedName name="csROU_DE_Budget__Uden_DIM__Dim10">"="</definedName>
    <definedName name="csROU_DE_Budget_Fixed_Assets_Dim01">"="</definedName>
    <definedName name="csROU_DE_Budget_Fixed_Assets_Dim03">"="</definedName>
    <definedName name="csROU_DE_Budget_Fixed_Assets_Dim08">"="</definedName>
    <definedName name="csROU_DE_Budget_Fixed_Assets_Dim09">"="</definedName>
    <definedName name="csROU_DE_Budget_Fixed_Assets_Dim10">"="</definedName>
    <definedName name="csROU_DE_Budget_Rate_CP_Dim01">"="</definedName>
    <definedName name="csROU_DE_Budget_Rate_CP_Dim02">"="</definedName>
    <definedName name="csROU_DE_Estimat_Rate_CP1_Dim01">"="</definedName>
    <definedName name="csROU_DE_Estimat_Rate_CP1_Dim02">"="</definedName>
    <definedName name="csROU_XDE_Excel_Services__Uden_DIM__Dim03">"="</definedName>
    <definedName name="csS">#REF!</definedName>
    <definedName name="CSStreet1">#REF!</definedName>
    <definedName name="CSStreet2">#REF!</definedName>
    <definedName name="CSStreet3">#REF!</definedName>
    <definedName name="cst">#REF!</definedName>
    <definedName name="CST_16">#REF!</definedName>
    <definedName name="CST_17">#REF!</definedName>
    <definedName name="CST_4">#REF!</definedName>
    <definedName name="cst_Batt">#REF!</definedName>
    <definedName name="cst_DG">#REF!</definedName>
    <definedName name="CSTriggers">#REF!</definedName>
    <definedName name="csUSL_FS_Schedule_Dim01">"="</definedName>
    <definedName name="csUSL_FS_Schedule_Dim02">"="</definedName>
    <definedName name="csUSL_FS_Schedule_Dim03">#REF!</definedName>
    <definedName name="csUSL_FS_Schedule_Dim04">#REF!</definedName>
    <definedName name="csUSL_FS_Schedule_Dim05">#REF!</definedName>
    <definedName name="csUSL_FS_Schedule_Dim06">#REF!</definedName>
    <definedName name="csUSL_FS_Schedule_Dim07">#REF!</definedName>
    <definedName name="csUSL_FS_Schedule_Dim08">#REF!</definedName>
    <definedName name="csUSL_FS_Schedule_Dim09">#REF!</definedName>
    <definedName name="csUSL_FS_Schedule_Dim10">#REF!</definedName>
    <definedName name="csUSL_FS_Schedule1_Dim01">"="</definedName>
    <definedName name="csUSL_FS_Schedule1_Dim02">"="</definedName>
    <definedName name="csUSL_FS_Schedule1_Dim03">#REF!</definedName>
    <definedName name="csUSL_FS_Schedule1_Dim04">#REF!</definedName>
    <definedName name="csUSL_FS_Schedule1_Dim05">#REF!</definedName>
    <definedName name="csUSL_FS_Schedule1_Dim06">#REF!</definedName>
    <definedName name="csUSL_FS_Schedule1_Dim07">#REF!</definedName>
    <definedName name="csUSL_FS_Schedule1_Dim08">#REF!</definedName>
    <definedName name="csUSL_FS_Schedule1_Dim09">#REF!</definedName>
    <definedName name="csUSL_FS_Schedule1_Dim10">#REF!</definedName>
    <definedName name="csUSL_FS_Schedule11_Dim01">"="</definedName>
    <definedName name="csUSL_FS_Schedule11_Dim02">"="</definedName>
    <definedName name="csUSL_FS_Schedule11_Dim04">#REF!</definedName>
    <definedName name="csUSL_FS_Schedule11_Dim05">#REF!</definedName>
    <definedName name="csUSL_FS_Schedule11_Dim06">#REF!</definedName>
    <definedName name="csUSL_FS_Schedule11_Dim07">#REF!</definedName>
    <definedName name="csUSL_FS_Schedule11_Dim08">#REF!</definedName>
    <definedName name="csUSL_FS_Schedule11_Dim09">#REF!</definedName>
    <definedName name="csUSL_FS_Schedule11_Dim10">#REF!</definedName>
    <definedName name="csUSL_FS_Schedule11Anchor">#REF!</definedName>
    <definedName name="csUSL_FS_Schedule1Anchor">#REF!</definedName>
    <definedName name="csUSL_FS_ScheduleAnchor">#REF!</definedName>
    <definedName name="CSZipCode">#REF!</definedName>
    <definedName name="ctact">#REF!</definedName>
    <definedName name="CTAMSAprInv">#REF!</definedName>
    <definedName name="CTAMSAugInv">#REF!</definedName>
    <definedName name="CTAMSDecInv">#REF!</definedName>
    <definedName name="CTAMSFebInv">#REF!</definedName>
    <definedName name="CTAMSJanInv">#REF!</definedName>
    <definedName name="CTAMSJulInv">#REF!</definedName>
    <definedName name="CTAMSJunInv">#REF!</definedName>
    <definedName name="CTAMSMarInv">#REF!</definedName>
    <definedName name="CTAMSMayInv">#REF!</definedName>
    <definedName name="CTAMSNovInv">#REF!</definedName>
    <definedName name="CTAMSOctInv">#REF!</definedName>
    <definedName name="CTAMSSepInv">#REF!</definedName>
    <definedName name="CTD_MC_OP">#REF!</definedName>
    <definedName name="CTD_MC_VOP">#REF!</definedName>
    <definedName name="CTD_MC_YE_EST">#REF!</definedName>
    <definedName name="CTD_MC_YTD_ACTUAL">#REF!</definedName>
    <definedName name="CTD_MP_COMPLETE">#REF!</definedName>
    <definedName name="CTD_MP_OP">#REF!</definedName>
    <definedName name="CTD_MP_VOP">#REF!</definedName>
    <definedName name="CTD_MP_YE_EST">#REF!</definedName>
    <definedName name="CTD_MP_YTD_ACTUAL">#REF!</definedName>
    <definedName name="CTD_MPI_OP">#REF!</definedName>
    <definedName name="CTD_MPI_VOP">#REF!</definedName>
    <definedName name="CTD_MPI_YE_EST">#REF!</definedName>
    <definedName name="CTD_MPI_YTD_ACTUAL">#REF!</definedName>
    <definedName name="CTD_VCP_OP">#REF!</definedName>
    <definedName name="CTD_VCP_VOP">#REF!</definedName>
    <definedName name="CTD_VCP_YE_EST">#REF!</definedName>
    <definedName name="CTD_VCP_YTD_ACTUAL">#REF!</definedName>
    <definedName name="ctdn9697">#REF!</definedName>
    <definedName name="CTGRY">#REF!</definedName>
    <definedName name="CTGS">#REF!</definedName>
    <definedName name="ctiep">#REF!</definedName>
    <definedName name="ctmai">#REF!</definedName>
    <definedName name="ctong">#REF!</definedName>
    <definedName name="CTopics">#REF!</definedName>
    <definedName name="ctre">#REF!</definedName>
    <definedName name="CTRY_CODES">#REF!</definedName>
    <definedName name="ctstd">#REF!</definedName>
    <definedName name="CU_LY">#REF!</definedName>
    <definedName name="cu107.DPSSymbol" hidden="1">"Rs"</definedName>
    <definedName name="cu107.EPSSymbol" hidden="1">"Rs"</definedName>
    <definedName name="Cube_Ref_Rptg">#REF!</definedName>
    <definedName name="Cube_Ref_Sales">#REF!</definedName>
    <definedName name="Cube_Ref_Stats">#REF!</definedName>
    <definedName name="CUENTA">#REF!</definedName>
    <definedName name="CUENTA1">#REF!</definedName>
    <definedName name="CUENTA341">#REF!</definedName>
    <definedName name="cui">#REF!</definedName>
    <definedName name="cuoc_vc">#REF!</definedName>
    <definedName name="cur">#REF!</definedName>
    <definedName name="CURADIA">#REF!</definedName>
    <definedName name="CurFY">#REF!</definedName>
    <definedName name="CurLiab">#REF!</definedName>
    <definedName name="CurMth">#REF!</definedName>
    <definedName name="CurMth2">#REF!</definedName>
    <definedName name="CurQtr">#REF!</definedName>
    <definedName name="Curr">#REF!</definedName>
    <definedName name="Curr.Liab">#REF!</definedName>
    <definedName name="curr_forecast">#REF!</definedName>
    <definedName name="curr_IO_plan">#REF!</definedName>
    <definedName name="curr_liab_prov">#REF!</definedName>
    <definedName name="curr_sales_Am">#REF!</definedName>
    <definedName name="curr_sales_asia">#REF!</definedName>
    <definedName name="curr_sales_Eur">#REF!</definedName>
    <definedName name="curr_sales_global">#REF!</definedName>
    <definedName name="curr_ship">#REF!</definedName>
    <definedName name="CurrAssets">#REF!</definedName>
    <definedName name="currency">#REF!</definedName>
    <definedName name="Currency_13">#REF!</definedName>
    <definedName name="Currency_21">#REF!</definedName>
    <definedName name="CurrencySymbols">#REF!</definedName>
    <definedName name="Current">#REF!</definedName>
    <definedName name="Current_From">#REF!</definedName>
    <definedName name="Current_Period">#REF!</definedName>
    <definedName name="current_price">#REF!</definedName>
    <definedName name="Current_Sal">#REF!</definedName>
    <definedName name="Current_To">#REF!</definedName>
    <definedName name="CurrentMonth">#REF!</definedName>
    <definedName name="CurrentStatus">#REF!</definedName>
    <definedName name="CurrentYearBeginDate">#REF!</definedName>
    <definedName name="CurrentYTD">#REF!</definedName>
    <definedName name="currFW">#REF!</definedName>
    <definedName name="CURT">#REF!</definedName>
    <definedName name="CURVE" hidden="1">{#N/A,#N/A,FALSE,"COVER1.XLS ";#N/A,#N/A,FALSE,"RACT1.XLS";#N/A,#N/A,FALSE,"RACT2.XLS";#N/A,#N/A,FALSE,"ECCMP";#N/A,#N/A,FALSE,"WELDER.XLS"}</definedName>
    <definedName name="CURYR">#REF!</definedName>
    <definedName name="CUSRATE">#N/A</definedName>
    <definedName name="CUST_CONBN">#REF!</definedName>
    <definedName name="cust_trans_price_lease">#REF!</definedName>
    <definedName name="cust_trans_price_retail">#REF!</definedName>
    <definedName name="CUSTODY.FEE">#REF!</definedName>
    <definedName name="custodyfee">#REF!</definedName>
    <definedName name="CUSTOMER_CONBN">#REF!</definedName>
    <definedName name="Customer_Satisfation">#REF!</definedName>
    <definedName name="Customer_Service_Costs">#REF!</definedName>
    <definedName name="Customers" hidden="1">{#N/A,#N/A,FALSE,"1996";#N/A,#N/A,FALSE,"1995";#N/A,#N/A,FALSE,"1994"}</definedName>
    <definedName name="CUSTS">#N/A</definedName>
    <definedName name="CustToolCost">#REF!</definedName>
    <definedName name="CustToolMargin">#REF!</definedName>
    <definedName name="cv" hidden="1">{#N/A,#N/A,FALSE,"EW"}</definedName>
    <definedName name="cv_2" hidden="1">{#N/A,#N/A,FALSE,"EW"}</definedName>
    <definedName name="cv_3" hidden="1">{#N/A,#N/A,FALSE,"EW"}</definedName>
    <definedName name="cv_4" hidden="1">{#N/A,#N/A,FALSE,"EW"}</definedName>
    <definedName name="CV_OTC">#REF!</definedName>
    <definedName name="cvb" hidden="1">{"detail",#N/A,FALSE,"mfg";"summary",#N/A,FALSE,"mfg"}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BSGSG" hidden="1">{"'BGT2001'!$A$1:$AE$112"}</definedName>
    <definedName name="cvc" hidden="1">{#N/A,#N/A,FALSE,"KA CH  (2)"}</definedName>
    <definedName name="cvcv" hidden="1">{"AS REP",#N/A,FALSE,"EEFSNAP2";"PROP",#N/A,FALSE,"EEFSNAP2";"RISKS",#N/A,FALSE,"EEFSNAP2";"VIEW ALL",#N/A,FALSE,"EEFSNAP2"}</definedName>
    <definedName name="cvffv">#REF!</definedName>
    <definedName name="cvh" hidden="1">{#N/A,#N/A,FALSE,"TOWNSHIP"}</definedName>
    <definedName name="cvh_2" hidden="1">{#N/A,#N/A,FALSE,"TOWNSHIP"}</definedName>
    <definedName name="cvh_3" hidden="1">{#N/A,#N/A,FALSE,"TOWNSHIP"}</definedName>
    <definedName name="cvh_4" hidden="1">{#N/A,#N/A,FALSE,"TOWNSHIP"}</definedName>
    <definedName name="cvn">{#N/A,#N/A,FALSE,"PMTABB";#N/A,#N/A,FALSE,"PMTABB"}</definedName>
    <definedName name="cvn_2">{#N/A,#N/A,FALSE,"PMTABB";#N/A,#N/A,FALSE,"PMTABB"}</definedName>
    <definedName name="cvn_3">{#N/A,#N/A,FALSE,"PMTABB";#N/A,#N/A,FALSE,"PMTABB"}</definedName>
    <definedName name="cvn_4">{#N/A,#N/A,FALSE,"PMTABB";#N/A,#N/A,FALSE,"PMTABB"}</definedName>
    <definedName name="cvp">#REF!</definedName>
    <definedName name="CVTotal">#REF!</definedName>
    <definedName name="cv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wh">#REF!</definedName>
    <definedName name="CWIP">#REF!</definedName>
    <definedName name="cworking_yy">#REF!</definedName>
    <definedName name="Cwvu.GREY_ALL." hidden="1">#REF!</definedName>
    <definedName name="cx">#REF!</definedName>
    <definedName name="CX_1" hidden="1">{#N/A,#N/A,FALSE,"PGW"}</definedName>
    <definedName name="CX_2" hidden="1">{#N/A,#N/A,FALSE,"PGW"}</definedName>
    <definedName name="CX_3" hidden="1">{#N/A,#N/A,FALSE,"PGW"}</definedName>
    <definedName name="CX_4" hidden="1">{#N/A,#N/A,FALSE,"PGW"}</definedName>
    <definedName name="CXN_7ADCA_VOLUM">#REF!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Y_lik_Equity">#REF!</definedName>
    <definedName name="CY_lik_Income">#REF!</definedName>
    <definedName name="CY_lik_Liabs">#REF!</definedName>
    <definedName name="CY_lik_RetEarn_bf">#REF!</definedName>
    <definedName name="cy_share_equity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00">#REF!</definedName>
    <definedName name="CYCLE" hidden="1">{#N/A,#N/A,FALSE,"QC REVIEW"}</definedName>
    <definedName name="cyla.TotBusLoss">#REF!</definedName>
    <definedName name="cyla.TotHPlossCurYr">#REF!</definedName>
    <definedName name="cyla.TotOthSrcLossNoRaceHorse">#REF!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">#REF!</definedName>
    <definedName name="D.S.O">#REF!</definedName>
    <definedName name="D_1" hidden="1">{#N/A,#N/A,FALSE,"PMTABB";#N/A,#N/A,FALSE,"PMTABB"}</definedName>
    <definedName name="d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_7101A_B">#REF!</definedName>
    <definedName name="d_date">#REF!</definedName>
    <definedName name="D_TB">#REF!</definedName>
    <definedName name="d134\">#REF!</definedName>
    <definedName name="D8Data">#REF!</definedName>
    <definedName name="da">#REF!</definedName>
    <definedName name="DA_2738635275300003650" hidden="1">#REF!</definedName>
    <definedName name="DA_2738635275300003898" hidden="1">#REF!</definedName>
    <definedName name="DA_2738635275300003983" hidden="1">#REF!</definedName>
    <definedName name="DA_2738635275300003988" hidden="1">#REF!</definedName>
    <definedName name="DA_2738635275300003993" hidden="1">#REF!</definedName>
    <definedName name="DA_op_stock">#REF!</definedName>
    <definedName name="DA_sale">#REF!</definedName>
    <definedName name="DAD" hidden="1">{#N/A,#N/A,FALSE,"REPORT"}</definedName>
    <definedName name="dadas">#REF!</definedName>
    <definedName name="DADF" hidden="1">{#N/A,#N/A,FALSE,"REPORT"}</definedName>
    <definedName name="dadsfsd" hidden="1">{#N/A,#N/A,FALSE,"FFM"}</definedName>
    <definedName name="daf" hidden="1">{#N/A,#N/A,FALSE,"1";#N/A,#N/A,FALSE,"2";#N/A,#N/A,FALSE,"16 - 17";#N/A,#N/A,FALSE,"18 - 19";#N/A,#N/A,FALSE,"26";#N/A,#N/A,FALSE,"27";#N/A,#N/A,FALSE,"28"}</definedName>
    <definedName name="daf_16">#REF!</definedName>
    <definedName name="daf_17">#REF!</definedName>
    <definedName name="daf_4">#REF!</definedName>
    <definedName name="dafkvbkvckvkv" hidden="1">{"'BGT2001'!$A$1:$AE$112"}</definedName>
    <definedName name="dafsadf">#REF!</definedName>
    <definedName name="dakfkjafgkeaj" hidden="1">{#N/A,#N/A,FALSE,"Pharm";#N/A,#N/A,FALSE,"WWCM"}</definedName>
    <definedName name="dam">78000</definedName>
    <definedName name="damanprofit80iamar98">#REF!</definedName>
    <definedName name="DAMANPROFITS">#REF!</definedName>
    <definedName name="damanwvl">#REF!</definedName>
    <definedName name="danhmuc">#REF!</definedName>
    <definedName name="DAOF10.TotalDepreciation">#REF!</definedName>
    <definedName name="dar">#REF!</definedName>
    <definedName name="da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" hidden="1">{"'BGT2001'!$A$1:$AE$112"}</definedName>
    <definedName name="dasd" hidden="1">#REF!</definedName>
    <definedName name="dasdasdasd">#REF!</definedName>
    <definedName name="dasfa">#REF!</definedName>
    <definedName name="dasfa_16">#REF!</definedName>
    <definedName name="dasfa_17">#REF!</definedName>
    <definedName name="dasfa_4">#REF!</definedName>
    <definedName name="Dat">#REF!</definedName>
    <definedName name="data">#REF!</definedName>
    <definedName name="Data.Dump" hidden="1">OFFSET(#REF!,1,0)</definedName>
    <definedName name="data_1">#REF!</definedName>
    <definedName name="data_10">#REF!</definedName>
    <definedName name="data_11">#REF!</definedName>
    <definedName name="data_12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2">#REF!</definedName>
    <definedName name="data_3">#REF!</definedName>
    <definedName name="data_4">#REF!</definedName>
    <definedName name="data_5">#REF!</definedName>
    <definedName name="data_6">#REF!</definedName>
    <definedName name="DATA_DATA2_List">#REF!</definedName>
    <definedName name="_xlnm.Data_Form">#N/A</definedName>
    <definedName name="Data_Input_Area">#REF!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Xfer">#REF!</definedName>
    <definedName name="data1" hidden="1">#REF!</definedName>
    <definedName name="DATA10">#REF!</definedName>
    <definedName name="data100">#REF!</definedName>
    <definedName name="data101">#REF!</definedName>
    <definedName name="DATA11">#REF!</definedName>
    <definedName name="DATA12">#REF!</definedName>
    <definedName name="data125">#REF!</definedName>
    <definedName name="DATA13">#REF!</definedName>
    <definedName name="DATA14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B">#REF!</definedName>
    <definedName name="DATABAL">#REF!</definedName>
    <definedName name="_xlnm.Database">#REF!</definedName>
    <definedName name="Database.File" hidden="1">#REF!</definedName>
    <definedName name="Database_MI">#REF!</definedName>
    <definedName name="database1">#REF!</definedName>
    <definedName name="database2">#REF!</definedName>
    <definedName name="Database3" hidden="1">#REF!</definedName>
    <definedName name="datak">#REF!</definedName>
    <definedName name="datal">#REF!</definedName>
    <definedName name="DATAMOL">#REF!</definedName>
    <definedName name="datanase">#REF!</definedName>
    <definedName name="DataTable1">#REF!</definedName>
    <definedName name="DataTable2">#REF!</definedName>
    <definedName name="DataThere1">#REF!</definedName>
    <definedName name="DataThere2">#REF!</definedName>
    <definedName name="DataThere3">#REF!</definedName>
    <definedName name="DataThere4">#REF!</definedName>
    <definedName name="DataThere5">#REF!</definedName>
    <definedName name="DATATOT">#REF!</definedName>
    <definedName name="DataType">#REF!</definedName>
    <definedName name="DATE">#REF!</definedName>
    <definedName name="DATE_CALCUL">#REF!</definedName>
    <definedName name="DATE_DATA">#REF!</definedName>
    <definedName name="DATE_HORIZON">#REF!</definedName>
    <definedName name="Date_of_Review">#REF!</definedName>
    <definedName name="Dated">#REF!</definedName>
    <definedName name="DATEENG">#REF!</definedName>
    <definedName name="DATEFRM">#REF!</definedName>
    <definedName name="datefulldep">#REF!</definedName>
    <definedName name="DATEMISS">#REF!</definedName>
    <definedName name="DATENBANK_DB">#REF!</definedName>
    <definedName name="DATENBANK_DF">#REF!</definedName>
    <definedName name="DATENBANK_EM">#REF!</definedName>
    <definedName name="DATENBANK_HP">#REF!</definedName>
    <definedName name="DATENBANK_KR">#REF!</definedName>
    <definedName name="DATENBANK_OB">#REF!</definedName>
    <definedName name="Dates">#REF!</definedName>
    <definedName name="DatesMonday">#REF!</definedName>
    <definedName name="DATOS_IMPORTANTES">#REF!</definedName>
    <definedName name="DATOS1">#REF!</definedName>
    <definedName name="Datum">#REF!</definedName>
    <definedName name="Days">365</definedName>
    <definedName name="days_in_month">#REF!</definedName>
    <definedName name="days120">#REF!</definedName>
    <definedName name="days120_4">#REF!</definedName>
    <definedName name="days120120">#REF!</definedName>
    <definedName name="days120120_13">#REF!</definedName>
    <definedName name="days120120_21">#REF!</definedName>
    <definedName name="days30">#REF!</definedName>
    <definedName name="days60">#REF!</definedName>
    <definedName name="days90">#REF!</definedName>
    <definedName name="db">#N/A</definedName>
    <definedName name="db_mapping">#REF!</definedName>
    <definedName name="DB_品番情報">#REF!</definedName>
    <definedName name="DB_回路">#REF!</definedName>
    <definedName name="DB_回路__AB端_ｺﾈｸﾀ情報付き">#REF!</definedName>
    <definedName name="DB_回路__AB端_ｺﾈｸﾀ端子情報付き">#REF!</definedName>
    <definedName name="DB_回路_AB端_ｺﾈｸﾀ情報付き">#REF!</definedName>
    <definedName name="DB_部品">#REF!</definedName>
    <definedName name="DBDB">#REF!</definedName>
    <definedName name="DBDGB">#REF!</definedName>
    <definedName name="dbed" hidden="1">{"histincome",#N/A,FALSE,"hyfins";"closing balance",#N/A,FALSE,"hyfins"}</definedName>
    <definedName name="dbi">#REF!</definedName>
    <definedName name="DBNAME1">#REF!</definedName>
    <definedName name="DBNAME2">#REF!</definedName>
    <definedName name="DBNAME3">#REF!</definedName>
    <definedName name="DBNAME4">#REF!</definedName>
    <definedName name="dbo_TimeSheetOnProjects">#REF!</definedName>
    <definedName name="DBUSERNAME1">#REF!</definedName>
    <definedName name="DBUSERNAME2">#REF!</definedName>
    <definedName name="DBUSERNAME3">#REF!</definedName>
    <definedName name="dc_p">#REF!</definedName>
    <definedName name="Dcap">#REF!</definedName>
    <definedName name="dcd">#REF!</definedName>
    <definedName name="DCEPL">#REF!</definedName>
    <definedName name="DCF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GP.TotPlntMach">#REF!</definedName>
    <definedName name="dche">#REF!</definedName>
    <definedName name="D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OS07" hidden="1">{#N/A,#N/A,TRUE,"Argentina";#N/A,#N/A,TRUE,"Brazil";#N/A,#N/A,TRUE,"Venezuela";#N/A,#N/A,TRUE,"Chile";#N/A,#N/A,TRUE,"Other LA";#N/A,#N/A,TRUE,"Puerto Rico"}</definedName>
    <definedName name="dcos071" hidden="1">{#N/A,#N/A,TRUE,"Argentina";#N/A,#N/A,TRUE,"Brazil";#N/A,#N/A,TRUE,"Venezuela";#N/A,#N/A,TRUE,"Chile";#N/A,#N/A,TRUE,"Other LA";#N/A,#N/A,TRUE,"Puerto Rico"}</definedName>
    <definedName name="dcwdwdyig">#REF!</definedName>
    <definedName name="dd">#REF!</definedName>
    <definedName name="dd4x6">#REF!</definedName>
    <definedName name="ddaa" hidden="1">{#N/A,#N/A,FALSE,"FFM"}</definedName>
    <definedName name="ddaadf" hidden="1">{"Fiesta Facer Page",#N/A,FALSE,"Q_C_S";"Fiesta Main Page",#N/A,FALSE,"V_L";"Fiesta 95BP Struct",#N/A,FALSE,"StructBP";"Fiesta Post 95BP Struct",#N/A,FALSE,"AdjStructBP"}</definedName>
    <definedName name="dday">#REF!</definedName>
    <definedName name="DDBL">#REF!</definedName>
    <definedName name="ddd">#REF!</definedName>
    <definedName name="ddD_1" hidden="1">{#N/A,#N/A,FALSE,"PMTABB";#N/A,#N/A,FALSE,"PMTABB"}</definedName>
    <definedName name="ddD_2" hidden="1">{#N/A,#N/A,FALSE,"PMTABB";#N/A,#N/A,FALSE,"PMTABB"}</definedName>
    <definedName name="ddD_3" hidden="1">{#N/A,#N/A,FALSE,"PMTABB";#N/A,#N/A,FALSE,"PMTABB"}</definedName>
    <definedName name="ddD_4" hidden="1">{#N/A,#N/A,FALSE,"PMTABB";#N/A,#N/A,FALSE,"PMTABB"}</definedName>
    <definedName name="dddaz" hidden="1">{#N/A,#N/A,FALSE,"Pharm";#N/A,#N/A,FALSE,"WWCM"}</definedName>
    <definedName name="dddb">{#N/A,#N/A,FALSE,"AUDIT-MWOS"}</definedName>
    <definedName name="dddd">#REF!</definedName>
    <definedName name="DDDDD" hidden="1">{#N/A,#N/A,FALSE,"Full";#N/A,#N/A,FALSE,"Half";#N/A,#N/A,FALSE,"Op Expenses";#N/A,#N/A,FALSE,"Cap Charge";#N/A,#N/A,FALSE,"Cost C";#N/A,#N/A,FALSE,"PP&amp;E";#N/A,#N/A,FALSE,"R&amp;D"}</definedName>
    <definedName name="dddddd" hidden="1">{#N/A,#N/A,FALSE,"Pharm";#N/A,#N/A,FALSE,"WWCM"}</definedName>
    <definedName name="ddddddd" hidden="1">{"detail",#N/A,FALSE,"mfg";"summary",#N/A,FALSE,"mfg"}</definedName>
    <definedName name="ddddddddd">#REF!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efef2f" hidden="1">#REF!</definedName>
    <definedName name="dddf" hidden="1">{#N/A,#N/A,FALSE,"QC REVIEW"}</definedName>
    <definedName name="ddee" hidden="1">{#N/A,#N/A,FALSE,"Finanzbedarsrechnung"}</definedName>
    <definedName name="dden">#REF!</definedName>
    <definedName name="ddes">#REF!</definedName>
    <definedName name="ddf" hidden="1">{#N/A,#N/A,FALSE,"KA CH  (2)"}</definedName>
    <definedName name="ddfgfg">#REF!</definedName>
    <definedName name="ddia">#REF!</definedName>
    <definedName name="DDNC">#REF!</definedName>
    <definedName name="DDNOI">#REF!</definedName>
    <definedName name="DDPL">#REF!</definedName>
    <definedName name="ddrr">#REF!</definedName>
    <definedName name="DDSDS" hidden="1">{#N/A,#N/A,FALSE,"PMTABB";#N/A,#N/A,FALSE,"PMTABB"}</definedName>
    <definedName name="DDT.AddLITPlusIntrestPayable">#REF!</definedName>
    <definedName name="DDT.AmtAnyDividDeclarOrPaid">#REF!</definedName>
    <definedName name="DDT.DateOfDeclareDividProfDomesComp">#REF!</definedName>
    <definedName name="DDT.EducationCess">#REF!</definedName>
    <definedName name="DDT.IntPayUs115P">#REF!</definedName>
    <definedName name="DDT.NetDDTPayableOrRefund">#REF!</definedName>
    <definedName name="DDT.RateDividPrevYr">#REF!</definedName>
    <definedName name="DDT.RateDividPrevYrType">#REF!</definedName>
    <definedName name="DDT.Surcharge">#REF!</definedName>
    <definedName name="DDT.TaxAndInterestPaid">#REF!</definedName>
    <definedName name="DDT.TotDDTPayable">#REF!</definedName>
    <definedName name="DDTP.Amt">#REF!</definedName>
    <definedName name="ddwd">#REF!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growth_in_major_Products___Price_Erosion___Reduction___L_E_2005_Vs_Budget_2006__First_Cut">#REF!</definedName>
    <definedName name="Dealer_Gross_Retail">#REF!</definedName>
    <definedName name="dealers">#REF!</definedName>
    <definedName name="dea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b" hidden="1">{#N/A,#N/A,FALSE,"Aging Summary";#N/A,#N/A,FALSE,"Ratio Analysis";#N/A,#N/A,FALSE,"Test 120 Day Accts";#N/A,#N/A,FALSE,"Tickmarks"}</definedName>
    <definedName name="deb_1" hidden="1">{#N/A,#N/A,FALSE,"Aging Summary";#N/A,#N/A,FALSE,"Ratio Analysis";#N/A,#N/A,FALSE,"Test 120 Day Accts";#N/A,#N/A,FALSE,"Tickmarks"}</definedName>
    <definedName name="DEBEN">#REF!</definedName>
    <definedName name="Debit">#REF!</definedName>
    <definedName name="DEBL">#REF!</definedName>
    <definedName name="debors" hidden="1">{#N/A,#N/A,FALSE,"Aging Summary";#N/A,#N/A,FALSE,"Ratio Analysis";#N/A,#N/A,FALSE,"Test 120 Day Accts";#N/A,#N/A,FALSE,"Tickmarks"}</definedName>
    <definedName name="debors_1" hidden="1">{#N/A,#N/A,FALSE,"Aging Summary";#N/A,#N/A,FALSE,"Ratio Analysis";#N/A,#N/A,FALSE,"Test 120 Day Accts";#N/A,#N/A,FALSE,"Tickmarks"}</definedName>
    <definedName name="DEBT">#REF!</definedName>
    <definedName name="debt_1">#REF!</definedName>
    <definedName name="debt_2">#REF!</definedName>
    <definedName name="debt_3">#REF!</definedName>
    <definedName name="debt_4">#REF!</definedName>
    <definedName name="debt_5">#REF!</definedName>
    <definedName name="debt_6">#REF!</definedName>
    <definedName name="debt_costs">#REF!</definedName>
    <definedName name="Debt_Equity">#REF!</definedName>
    <definedName name="Debt_Input">#REF!</definedName>
    <definedName name="Debt_Schedules">#REF!</definedName>
    <definedName name="debtor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ors">#REF!</definedName>
    <definedName name="Debtors_Prov_Detail">#REF!</definedName>
    <definedName name="DebtPercent_Calc">#REF!</definedName>
    <definedName name="Debtr" hidden="1">{#N/A,#N/A,FALSE,"FREE"}</definedName>
    <definedName name="debtrepay">#REF!</definedName>
    <definedName name="DEBTS">#REF!</definedName>
    <definedName name="debtsch">#REF!</definedName>
    <definedName name="debtservice_check">#REF!</definedName>
    <definedName name="debut">#REF!</definedName>
    <definedName name="DEC" hidden="1">{#N/A,#N/A,FALSE,"Tabl. H1";#N/A,#N/A,FALSE,"Tabl. H2"}</definedName>
    <definedName name="december">#REF!</definedName>
    <definedName name="DecEur">#REF!</definedName>
    <definedName name="decfa">#REF!</definedName>
    <definedName name="DecInWorkingCapitalMonth1Actuals">#REF!</definedName>
    <definedName name="DecInWorkingCapitalMonth1Budget">#REF!</definedName>
    <definedName name="DecInWorkingCapitalMonth2Actuals">#REF!</definedName>
    <definedName name="DecInWorkingCapitalMonth2Budget">#REF!</definedName>
    <definedName name="DecInWorkingCapitalMonth3Actuals">#REF!</definedName>
    <definedName name="DecInWorkingCapitalMonth3Budget">#REF!</definedName>
    <definedName name="DecInWorkingCapitalMonth4Actuals">#REF!</definedName>
    <definedName name="DecInWorkingCapitalMonth4Budget">#REF!</definedName>
    <definedName name="DecInWorkingCapitalYTDActuals">#REF!</definedName>
    <definedName name="DecInWorkingCapitalYTDBudget">#REF!</definedName>
    <definedName name="DECPLAN">#REF!</definedName>
    <definedName name="DECSBI">#REF!</definedName>
    <definedName name="DECSBM">#REF!</definedName>
    <definedName name="DecUSD">#REF!</definedName>
    <definedName name="ded80hhcdec97">#REF!</definedName>
    <definedName name="DED80HHCFULLFIG">#REF!</definedName>
    <definedName name="ded80hhcmar98esti">#REF!</definedName>
    <definedName name="DED80HHIIA">#REF!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UCCION">#REF!</definedName>
    <definedName name="deductions">#REF!</definedName>
    <definedName name="DEDZD" hidden="1">{#N/A,#N/A,FALSE,"Pharm";#N/A,#N/A,FALSE,"WWCM"}</definedName>
    <definedName name="DEE" hidden="1">{#N/A,#N/A,FALSE,"Pharm";#N/A,#N/A,FALSE,"WWCM"}</definedName>
    <definedName name="deep">#N/A</definedName>
    <definedName name="DEEPIKA">#REF!</definedName>
    <definedName name="DEER">#REF!</definedName>
    <definedName name="def">#REF!</definedName>
    <definedName name="Def.Tax">#REF!</definedName>
    <definedName name="def_esc_new_leases_1">#REF!</definedName>
    <definedName name="def_new_leases_2">#REF!</definedName>
    <definedName name="def_new_leases_3">#REF!</definedName>
    <definedName name="Def_tax">#REF!</definedName>
    <definedName name="DefAnalysis_ANSYS_April_Activity_List">#REF!</definedName>
    <definedName name="defef">#REF!</definedName>
    <definedName name="deff">#REF!</definedName>
    <definedName name="defrost_d">#REF!</definedName>
    <definedName name="DefTax.PL">#REF!</definedName>
    <definedName name="DEFTX">#REF!</definedName>
    <definedName name="DEGREASING">#REF!</definedName>
    <definedName name="dek">#REF!</definedName>
    <definedName name="DEL">#REF!</definedName>
    <definedName name="DEL_HEADER">#REF!</definedName>
    <definedName name="DeleArea">#REF!</definedName>
    <definedName name="DELETELOGICTYPE1">#REF!</definedName>
    <definedName name="DELETELOGICTYPE2">#REF!</definedName>
    <definedName name="DELETELOGICTYPE3">#REF!</definedName>
    <definedName name="delhi">#REF!</definedName>
    <definedName name="Delivery">#REF!</definedName>
    <definedName name="dell">#REF!</definedName>
    <definedName name="DELPHI">#N/A</definedName>
    <definedName name="DELTA">#REF!</definedName>
    <definedName name="delta_Capital_expenditure_to_sales">#REF!</definedName>
    <definedName name="delta_EBITDA_margin">#REF!</definedName>
    <definedName name="delta_Sales_growth">#REF!</definedName>
    <definedName name="delta_Tax_rate">#REF!</definedName>
    <definedName name="delta_WACC">#REF!</definedName>
    <definedName name="delta_Working_capital_to_sales">#REF!</definedName>
    <definedName name="DEM">#REF!</definedName>
    <definedName name="Demerged" hidden="1">#REF!,#REF!</definedName>
    <definedName name="den_bu">#REF!</definedName>
    <definedName name="denbu">#REF!</definedName>
    <definedName name="DENG">#REF!</definedName>
    <definedName name="deno">#REF!</definedName>
    <definedName name="DENOI">#REF!</definedName>
    <definedName name="DEP">#REF!</definedName>
    <definedName name="DEP_IT">#REF!</definedName>
    <definedName name="dep_pm">#REF!</definedName>
    <definedName name="DEP_SCHEDULE_INCOMETAX_ACT">#REF!</definedName>
    <definedName name="Departments">#REF!</definedName>
    <definedName name="DEPBAL">#REF!</definedName>
    <definedName name="depchart">#REF!</definedName>
    <definedName name="DEPCHARTHALOL">#REF!</definedName>
    <definedName name="depcom_pa">#REF!</definedName>
    <definedName name="DEPDET">#REF!</definedName>
    <definedName name="Depereciation" hidden="1">{"'Furniture&amp; O.E'!$A$4:$D$27"}</definedName>
    <definedName name="depfinal">#REF!</definedName>
    <definedName name="DEPL">#REF!</definedName>
    <definedName name="depml">#REF!</definedName>
    <definedName name="DEPN">#REF!</definedName>
    <definedName name="Depn.Exp">#REF!</definedName>
    <definedName name="Depn.Res">#REF!</definedName>
    <definedName name="depn_CO">#REF!</definedName>
    <definedName name="depn_IT">#REF!</definedName>
    <definedName name="Depn_to_charge_based_on_residual_life">#REF!</definedName>
    <definedName name="depn1">#REF!</definedName>
    <definedName name="depo">#REF!</definedName>
    <definedName name="DEPO_TDSADV">#REF!</definedName>
    <definedName name="deposit">#REF!</definedName>
    <definedName name="DEPOSITS">#REF!</definedName>
    <definedName name="Depositss" hidden="1">#REF!</definedName>
    <definedName name="DEPR">#REF!</definedName>
    <definedName name="depre">#REF!</definedName>
    <definedName name="Depreciation">#REF!</definedName>
    <definedName name="Depreciation_on_additions_deletions_to_assets_during_the_year_is_provided_on_prorata_basis_from_up_to_the_month_of_additions_deletions.">#REF!</definedName>
    <definedName name="Depreciation1" hidden="1">{"'Furniture&amp; O.E'!$A$4:$D$27"}</definedName>
    <definedName name="DEPRI" hidden="1">#REF!</definedName>
    <definedName name="DEPRT">#REF!</definedName>
    <definedName name="depsch">#REF!</definedName>
    <definedName name="depsch_pa">#REF!</definedName>
    <definedName name="DepSumry">{#N/A,#N/A,FALSE,"Sheet7"}</definedName>
    <definedName name="Dept">#REF!</definedName>
    <definedName name="DEPTION">#REF!</definedName>
    <definedName name="depveh_pa">#REF!</definedName>
    <definedName name="Dermato_OTC">#REF!</definedName>
    <definedName name="DermatoTotal">#REF!</definedName>
    <definedName name="d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_oq">#REF!</definedName>
    <definedName name="des_os">#REF!</definedName>
    <definedName name="DESC">OFFSET(#REF!,0,0,COUNTA(#REF!),1)</definedName>
    <definedName name="Desc_Bonus">#REF!</definedName>
    <definedName name="Design._pièce">#REF!</definedName>
    <definedName name="Design_Engineer">#REF!</definedName>
    <definedName name="designation_function">#REF!</definedName>
    <definedName name="designation_kit">#REF!</definedName>
    <definedName name="DESMA">#REF!</definedName>
    <definedName name="DEST">#REF!</definedName>
    <definedName name="DET">#REF!</definedName>
    <definedName name="DET_ITM_3_4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a">#REF!</definedName>
    <definedName name="Detail">#REF!</definedName>
    <definedName name="Detail_Accounts">#REF!</definedName>
    <definedName name="DetailColumns">#REF!</definedName>
    <definedName name="details">#REF!</definedName>
    <definedName name="Details_of_value_of_land_and_building">#REF!</definedName>
    <definedName name="DETALLE">#REF!</definedName>
    <definedName name="DETMOYTOT">#REF!</definedName>
    <definedName name="deut">#REF!</definedName>
    <definedName name="dev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c" hidden="1">{"TOTTEXAS",#N/A,FALSE,"CM"}</definedName>
    <definedName name="DEVFIN">#REF!</definedName>
    <definedName name="Devi_Offsets">#REF!</definedName>
    <definedName name="Device">#REF!</definedName>
    <definedName name="DEVISE">#REF!</definedName>
    <definedName name="DEVMOY">#REF!</definedName>
    <definedName name="DEWAS">#REF!</definedName>
    <definedName name="DEZLFEZKLHF" hidden="1">{#N/A,#N/A,FALSE,"Pharm";#N/A,#N/A,FALSE,"WWCM"}</definedName>
    <definedName name="df">#REF!</definedName>
    <definedName name="df_2" hidden="1">{#N/A,#N/A,FALSE,"PGW"}</definedName>
    <definedName name="df_3" hidden="1">{#N/A,#N/A,FALSE,"PGW"}</definedName>
    <definedName name="df_4" hidden="1">{#N/A,#N/A,FALSE,"PGW"}</definedName>
    <definedName name="dfa">#REF!</definedName>
    <definedName name="dfa_new">#REF!</definedName>
    <definedName name="dfadsfas" hidden="1">#REF!</definedName>
    <definedName name="dfd">#REF!</definedName>
    <definedName name="DFDD" hidden="1">{#N/A,#N/A,FALSE,"REPORT"}</definedName>
    <definedName name="dfdf">#N/A</definedName>
    <definedName name="dfdsdsfaf" hidden="1">#REF!</definedName>
    <definedName name="dfdsf" hidden="1">{#N/A,#N/A,FALSE,"FFM"}</definedName>
    <definedName name="dfe" hidden="1">#REF!</definedName>
    <definedName name="dfea">{"Client Name or Project Name"}</definedName>
    <definedName name="dff">#REF!</definedName>
    <definedName name="DFFFFF" hidden="1">{"'OBT_6M_30_6'!$S$1:$AE$53"}</definedName>
    <definedName name="DFFFFFFFFFFFFFFFFF" hidden="1">{"'BGT2001'!$A$1:$AE$112"}</definedName>
    <definedName name="dffgkljbnjbjbnu" hidden="1">{"'OBT_6M_30_6'!$S$1:$AE$53"}</definedName>
    <definedName name="dfg" hidden="1">{"A COM Detail YTD",#N/A,FALSE,"DATA";"B Exp Detail YTD",#N/A,FALSE,"DATA";"C COM Detail Qtr of",#N/A,FALSE,"DATA";"D Exp Detail Qtr of",#N/A,FALSE,"DATA";"A Performance Report",#N/A,FALSE,"%Performance"}</definedName>
    <definedName name="dfgd">#N/A</definedName>
    <definedName name="dfgdfd">#REF!</definedName>
    <definedName name="dfgdfg">#N/A</definedName>
    <definedName name="dfgfd" hidden="1">{#N/A,#N/A,FALSE,"COMP"}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" hidden="1">{#N/A,#N/A,FALSE,"gc (2)"}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{#N/A,"PURCHM",FALSE,"Business Analysis";#N/A,"SPADD",FALSE,"Business Analysis"}</definedName>
    <definedName name="dfghdfhdg" hidden="1">{#N/A,#N/A,FALSE,"Umsatz 99";#N/A,#N/A,FALSE,"ER 99 "}</definedName>
    <definedName name="dfghfd" hidden="1">{#N/A,#N/A,FALSE,"PMTABB";#N/A,#N/A,FALSE,"PMTABB"}</definedName>
    <definedName name="dfghfd_2" hidden="1">{#N/A,#N/A,FALSE,"PMTABB";#N/A,#N/A,FALSE,"PMTABB"}</definedName>
    <definedName name="dfghfd_3" hidden="1">{#N/A,#N/A,FALSE,"PMTABB";#N/A,#N/A,FALSE,"PMTABB"}</definedName>
    <definedName name="dfghfd_4" hidden="1">{#N/A,#N/A,FALSE,"PMTABB";#N/A,#N/A,FALSE,"PMTABB"}</definedName>
    <definedName name="DFGHJK" hidden="1">8</definedName>
    <definedName name="DFHGH" hidden="1">{#N/A,#N/A,FALSE,"PGW"}</definedName>
    <definedName name="DFHGH_1" hidden="1">{#N/A,#N/A,FALSE,"PGW"}</definedName>
    <definedName name="DFHGH_2" hidden="1">{#N/A,#N/A,FALSE,"PGW"}</definedName>
    <definedName name="DFHGH_3" hidden="1">{#N/A,#N/A,FALSE,"PGW"}</definedName>
    <definedName name="DFHGH_4" hidden="1">{#N/A,#N/A,FALSE,"PGW"}</definedName>
    <definedName name="df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L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ghlbnmbn" hidden="1">{"'BGT2001'!$A$1:$AE$112"}</definedName>
    <definedName name="dfngkfd">#REF!</definedName>
    <definedName name="dfr" hidden="1">{#N/A,#N/A,FALSE,"Pharm";#N/A,#N/A,FALSE,"WWCM"}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s" hidden="1">{#N/A,#N/A,FALSE,"QC REVIEW"}</definedName>
    <definedName name="dfsads">#N/A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fs" hidden="1">{#N/A,#N/A,FALSE,"QC REVIEW"}</definedName>
    <definedName name="dfsgsdfg" hidden="1">{#N/A,#N/A,TRUE,"SCR-LA 2001";#N/A,#N/A,TRUE,"2001 TOTAL";#N/A,#N/A,TRUE,"2001 Puerto Rico";#N/A,#N/A,TRUE,"2001 Argentina";#N/A,#N/A,TRUE,"2001 Brazil";#N/A,#N/A,TRUE,"2001 Venezuela";#N/A,#N/A,TRUE,"2001 Chile";#N/A,#N/A,TRUE,"2001 Other Latin America"}</definedName>
    <definedName name="dfsvg">#REF!</definedName>
    <definedName name="dg">#REF!</definedName>
    <definedName name="DGCTI592">#REF!</definedName>
    <definedName name="dgdfg" hidden="1">{#N/A,#N/A,FALSE,"FFM"}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fd" hidden="1">{#N/A,#N/A,FALSE,"QC REVIEW"}</definedName>
    <definedName name="dgfgfd" hidden="1">{#N/A,#N/A,FALSE,"COVER.XLS";#N/A,#N/A,FALSE,"RACT1.XLS";#N/A,#N/A,FALSE,"RACT2.XLS";#N/A,#N/A,FALSE,"ECCMP";#N/A,#N/A,FALSE,"WELDER.XLS"}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HS">#REF!</definedName>
    <definedName name="DGNMKTG">#REF!</definedName>
    <definedName name="dh">#REF!</definedName>
    <definedName name="dhom">#REF!</definedName>
    <definedName name="DI">#REF!</definedName>
    <definedName name="DI_2">#REF!</definedName>
    <definedName name="Di_Div">#REF!</definedName>
    <definedName name="Diazepam">#REF!</definedName>
    <definedName name="dicer">#REF!</definedName>
    <definedName name="Diclofenac">#REF!</definedName>
    <definedName name="dien">#REF!</definedName>
    <definedName name="Diff">#REF!</definedName>
    <definedName name="Diff_PV">#REF!</definedName>
    <definedName name="Difference">#REF!</definedName>
    <definedName name="Difference2">#REF!</definedName>
    <definedName name="DIFFERITA">#REF!</definedName>
    <definedName name="difigtreweqwe" hidden="1">{#N/A,#N/A,FALSE,"Profit Status";#N/A,#N/A,FALSE,"Invest";#N/A,#N/A,FALSE,"Revenue";#N/A,#N/A,FALSE,"Variable Cost";#N/A,#N/A,FALSE,"Options &amp; Series"}</definedName>
    <definedName name="digit_18">"テキスト 21"</definedName>
    <definedName name="Dil._sale">#REF!</definedName>
    <definedName name="Dil_Prodn.">#REF!</definedName>
    <definedName name="DILAZIONIGD">#REF!</definedName>
    <definedName name="DILAZIONISPECIALE">#REF!</definedName>
    <definedName name="DILAZIONITRADIZIONALE">#REF!</definedName>
    <definedName name="DILT">#REF!</definedName>
    <definedName name="DILUTION">#REF!</definedName>
    <definedName name="DIM">#REF!</definedName>
    <definedName name="Dim_X">#REF!</definedName>
    <definedName name="Dim_Y">#REF!</definedName>
    <definedName name="Dim_Z">#REF!</definedName>
    <definedName name="dimac" hidden="1">{#N/A,#N/A,FALSE,"Tabl. D1";#N/A,#N/A,FALSE,"Tabl. D1 b";#N/A,#N/A,FALSE,"Tabl. D2";#N/A,#N/A,FALSE,"Tabl. D2 b";#N/A,#N/A,FALSE,"Tabl. D3";#N/A,#N/A,FALSE,"Tabl. D4";#N/A,#N/A,FALSE,"Tabl. D5"}</definedName>
    <definedName name="DINSHAWS_DAIRY_FOODS_LTD___NAGPUR">#REF!</definedName>
    <definedName name="DINSHAWS_DAIRY_FOODS_LTD___NAGPUR_14">#REF!</definedName>
    <definedName name="dir" hidden="1">{#N/A,#N/A,FALSE,"COMP"}</definedName>
    <definedName name="dirannpay">#REF!</definedName>
    <definedName name="direct_cost">#REF!</definedName>
    <definedName name="direct_expenses">#REF!</definedName>
    <definedName name="Direct_Savings_from_ASP_strategy">#REF!</definedName>
    <definedName name="DirectExpenses">#REF!</definedName>
    <definedName name="DirectLab">#REF!</definedName>
    <definedName name="DIRECTORS">#REF!</definedName>
    <definedName name="dirmopay">#REF!</definedName>
    <definedName name="dirrep">#REF!</definedName>
    <definedName name="DIS">#N/A</definedName>
    <definedName name="Disaggregations">#REF!</definedName>
    <definedName name="disbursements">#REF!</definedName>
    <definedName name="disc">#REF!</definedName>
    <definedName name="disc1">#REF!</definedName>
    <definedName name="disc2">#REF!</definedName>
    <definedName name="disc3">#REF!</definedName>
    <definedName name="Discount" hidden="1">#REF!</definedName>
    <definedName name="Discount_Rate">#REF!</definedName>
    <definedName name="Discounted_Cash_Flow">#REF!</definedName>
    <definedName name="DiscountRate">#REF!</definedName>
    <definedName name="DiscretionaryBudgetedCompletionDate">#REF!</definedName>
    <definedName name="DiscretionaryCommitted">#REF!</definedName>
    <definedName name="DiscretionaryExpectedCompletionDate">#REF!</definedName>
    <definedName name="DiscretionaryExpectedTotalExpenditure">#REF!</definedName>
    <definedName name="DiscretionaryExpenditureToDate">#REF!</definedName>
    <definedName name="DiscretionaryPercentComp.">#REF!</definedName>
    <definedName name="DiscretionaryPercentSanctioned">#REF!</definedName>
    <definedName name="DiscretionaryReviewRequired">#REF!</definedName>
    <definedName name="DiscretionarySanctioned">#REF!</definedName>
    <definedName name="DISH_ANTENNA">#REF!</definedName>
    <definedName name="display_area_2" hidden="1">#REF!</definedName>
    <definedName name="DisplaySelectedSheetsMacroButton">#REF!</definedName>
    <definedName name="Disposition_Fee_24">#REF!</definedName>
    <definedName name="Disposition_Fee_36">#REF!</definedName>
    <definedName name="disputed_scope_changes">#REF!</definedName>
    <definedName name="DisputedProvisions4Actuals">#REF!</definedName>
    <definedName name="DisputedProvisions4Budget">#REF!</definedName>
    <definedName name="DisputedProvisionsMonth1Actuals">#REF!</definedName>
    <definedName name="DisputedProvisionsMonth1Budget">#REF!</definedName>
    <definedName name="DisputedProvisionsMonth2Actuals">#REF!</definedName>
    <definedName name="DisputedProvisionsMonth2Budget">#REF!</definedName>
    <definedName name="DisputedProvisionsMonth3Actuals">#REF!</definedName>
    <definedName name="DisputedProvisionsMonth3Budget">#REF!</definedName>
    <definedName name="DisputedProvisionsYTDActuals">#REF!</definedName>
    <definedName name="DisputedProvisionsYTDBudget">#REF!</definedName>
    <definedName name="DisputedProvisionYTDActuals">#REF!</definedName>
    <definedName name="DisputedProvisionYTDBudget">#REF!</definedName>
    <definedName name="DISS">#REF!</definedName>
    <definedName name="Distillery">#REF!</definedName>
    <definedName name="DISTOUTSTANDING">#REF!</definedName>
    <definedName name="DISTRIBUTION">#REF!</definedName>
    <definedName name="DISTRIBUTION_EQUIPMENT">#REF!</definedName>
    <definedName name="DIV">#REF!</definedName>
    <definedName name="div_income">#REF!</definedName>
    <definedName name="dividendjsk">#REF!</definedName>
    <definedName name="dividends97">#REF!</definedName>
    <definedName name="DIVIN">#REF!</definedName>
    <definedName name="DIVISION">#REF!</definedName>
    <definedName name="Division_1_Consolidate">#REF!</definedName>
    <definedName name="Division_1_Name">#REF!</definedName>
    <definedName name="Division_2_Consolidate">#REF!</definedName>
    <definedName name="Division_2_Name">#REF!</definedName>
    <definedName name="Division_3_Consolidate">#REF!</definedName>
    <definedName name="Division_3_Name">#REF!</definedName>
    <definedName name="Division_4_Consolidate">#REF!</definedName>
    <definedName name="Division_4_Name">#REF!</definedName>
    <definedName name="Division_5_Consolidate">#REF!</definedName>
    <definedName name="Division_5_Name">#REF!</definedName>
    <definedName name="Division_6_Consolidate">#REF!</definedName>
    <definedName name="Division_6_Name">#REF!</definedName>
    <definedName name="Division_7_Consolidate">#REF!</definedName>
    <definedName name="Division_7_Name">#REF!</definedName>
    <definedName name="Division_8_Consolidate">#REF!</definedName>
    <definedName name="Division_8_Name">#REF!</definedName>
    <definedName name="Division_9_Consolidate">#REF!</definedName>
    <definedName name="Division_9_Name">#REF!</definedName>
    <definedName name="Division_Files">#REF!</definedName>
    <definedName name="divya">#REF!</definedName>
    <definedName name="divyadivya" hidden="1">{"Fiesta Facer Page",#N/A,FALSE,"Q_C_S";"Fiesta Main Page",#N/A,FALSE,"V_L";"Fiesta 95BP Struct",#N/A,FALSE,"StructBP";"Fiesta Post 95BP Struct",#N/A,FALSE,"AdjStructBP"}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jdjjdjd">#REF!</definedName>
    <definedName name="djksljd" hidden="1">{#N/A,#N/A,FALSE,"Other";#N/A,#N/A,FALSE,"Ace";#N/A,#N/A,FALSE,"Derm"}</definedName>
    <definedName name="DK_NKBH">#REF!</definedName>
    <definedName name="DK_NKC">#REF!</definedName>
    <definedName name="DK_NKC1">#REF!</definedName>
    <definedName name="DK_NKCT">#REF!</definedName>
    <definedName name="DK_NKMH">#REF!</definedName>
    <definedName name="DK_NKTT">#REF!</definedName>
    <definedName name="DK_SC">#REF!</definedName>
    <definedName name="DK_SQTM">#REF!</definedName>
    <definedName name="dkdkdkdkdkd">#REF!</definedName>
    <definedName name="DKDKFG8TBTB2RT">#REF!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t">#REF!</definedName>
    <definedName name="dkvgsdlgm" hidden="1">#REF!</definedName>
    <definedName name="DL_NKBH">#REF!</definedName>
    <definedName name="DL_NKC">#REF!</definedName>
    <definedName name="DL_NKC1">#REF!</definedName>
    <definedName name="DL_NKCT">#REF!</definedName>
    <definedName name="DL_NKMH">#REF!</definedName>
    <definedName name="DL_NKTT">#REF!</definedName>
    <definedName name="DL_SC">#REF!</definedName>
    <definedName name="DL_SQTM">#REF!</definedName>
    <definedName name="DLabActY1">#REF!</definedName>
    <definedName name="DLabActY2">#REF!</definedName>
    <definedName name="DLabBaseline">#REF!</definedName>
    <definedName name="DLabFcstY1">#REF!</definedName>
    <definedName name="DLabFcstY2">#REF!</definedName>
    <definedName name="DLAgentComAmount">#REF!</definedName>
    <definedName name="DLL" hidden="1">#REF!</definedName>
    <definedName name="DLLCON">#REF!</definedName>
    <definedName name="DLModality">#REF!</definedName>
    <definedName name="DlrNet">#REF!</definedName>
    <definedName name="DlrProfit">#REF!</definedName>
    <definedName name="dls">#REF!</definedName>
    <definedName name="dlx">#REF!</definedName>
    <definedName name="DM">#REF!</definedName>
    <definedName name="Dm_to_Oz">#REF!</definedName>
    <definedName name="dma_cluster">#REF!</definedName>
    <definedName name="Dmalik" hidden="1">{#N/A,#N/A,FALSE,"Umsatz 99";#N/A,#N/A,FALSE,"ER 99 "}</definedName>
    <definedName name="dmat">#REF!</definedName>
    <definedName name="dmdv">#REF!</definedName>
    <definedName name="DME_Dirty" hidden="1">"False"</definedName>
    <definedName name="DME_LocalFile" hidden="1">"True"</definedName>
    <definedName name="DMHH">#REF!</definedName>
    <definedName name="dmoi">#REF!</definedName>
    <definedName name="dn">#REF!</definedName>
    <definedName name="dn_new">#REF!</definedName>
    <definedName name="DNC">#REF!</definedName>
    <definedName name="dneo">#REF!</definedName>
    <definedName name="DÑt45x4">#REF!</definedName>
    <definedName name="Do_you_wish_to_include_timeliness_and_adequacy_calculation?">#REF!</definedName>
    <definedName name="dobt">#REF!</definedName>
    <definedName name="DOC">#REF!</definedName>
    <definedName name="DOCKET_NO">#REF!</definedName>
    <definedName name="DOCTTR">#REF!</definedName>
    <definedName name="DocType">#N/A</definedName>
    <definedName name="Document_array">{"Book1"}</definedName>
    <definedName name="DOI">#REF!</definedName>
    <definedName name="DOL">#REF!</definedName>
    <definedName name="DOLAR">#REF!</definedName>
    <definedName name="DOLLAR">#REF!</definedName>
    <definedName name="dollars">#REF!</definedName>
    <definedName name="dollars_13">#REF!</definedName>
    <definedName name="dollars_21">#REF!</definedName>
    <definedName name="DOLLARS_FINAL">#REF!</definedName>
    <definedName name="DOLLARS_MONTHLY">#REF!</definedName>
    <definedName name="dollkurs">#REF!</definedName>
    <definedName name="DOM">#N/A</definedName>
    <definedName name="DOM??">#N/A</definedName>
    <definedName name="DOM_COS">#N/A</definedName>
    <definedName name="DOM_SALE">#N/A</definedName>
    <definedName name="domestic">#REF!</definedName>
    <definedName name="DOMSALE">#N/A</definedName>
    <definedName name="DOMUSA??">#N/A</definedName>
    <definedName name="DOMUSAGER">#N/A</definedName>
    <definedName name="DOMUSA저장">#N/A</definedName>
    <definedName name="DOM전장">#N/A</definedName>
    <definedName name="DONATION">#REF!</definedName>
    <definedName name="DONATIONS">#REF!</definedName>
    <definedName name="Door_Asy_Htr_Air_Outlet__Floor">#REF!</definedName>
    <definedName name="Door_Asy_Htr_Blower_Inlet">#REF!</definedName>
    <definedName name="Door_Asy_Windshield_Defroster">#REF!</definedName>
    <definedName name="DOS">#REF!</definedName>
    <definedName name="DOV">#REF!</definedName>
    <definedName name="DownButton">#N/A</definedName>
    <definedName name="Doxepin">#REF!</definedName>
    <definedName name="DP">#REF!</definedName>
    <definedName name="DPC">#REF!</definedName>
    <definedName name="DPFLSDPFL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M15.TotalDepreciation">#REF!</definedName>
    <definedName name="DPM60.TotalDepreciation">#REF!</definedName>
    <definedName name="DPotherbanks">#REF!</definedName>
    <definedName name="DPR">#REF!</definedName>
    <definedName name="DPSBI">#REF!</definedName>
    <definedName name="DPTPW19">#REF!</definedName>
    <definedName name="DPTPW20">#REF!</definedName>
    <definedName name="DPTPW21">#REF!</definedName>
    <definedName name="DPTPW22">#REF!</definedName>
    <definedName name="dq" hidden="1">{"Comp_of_Price_Effect",#N/A,FALSE,"QTRDPVAR"}</definedName>
    <definedName name="dqded">#REF!</definedName>
    <definedName name="dr">#REF!</definedName>
    <definedName name="Dr_Acc">#REF!</definedName>
    <definedName name="DRA">#REF!</definedName>
    <definedName name="DRA_CQA_IPR_CP">#REF!</definedName>
    <definedName name="draft">#REF!</definedName>
    <definedName name="DRAW">#REF!</definedName>
    <definedName name="dr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rf_det">#REF!</definedName>
    <definedName name="DRIVER">#REF!</definedName>
    <definedName name="DrReddyDuty5">#REF!</definedName>
    <definedName name="DrReddyDuty7">#REF!</definedName>
    <definedName name="DrReddyDuty8">#REF!</definedName>
    <definedName name="DrReddyStock5">#REF!</definedName>
    <definedName name="DrReddyStock7">#REF!</definedName>
    <definedName name="DrReddyStock8">#REF!</definedName>
    <definedName name="DrReddyVAT5">#REF!</definedName>
    <definedName name="DrReddyVAT7">#REF!</definedName>
    <definedName name="DrReddyVAT8">#REF!</definedName>
    <definedName name="Drs_Chennai">#REF!</definedName>
    <definedName name="Drs_Deltaram">#REF!</definedName>
    <definedName name="Drs_Direct">#REF!</definedName>
    <definedName name="Drs_Export">#REF!</definedName>
    <definedName name="DRUCKBEREI03">#REF!</definedName>
    <definedName name="Drucktitel_MI">#REF!</definedName>
    <definedName name="drw" hidden="1">{"PAGE 1",#N/A,FALSE,"COS";"PAGE 2",#N/A,FALSE,"COS";"PAGE 3",#N/A,FALSE,"COS"}</definedName>
    <definedName name="DS">#REF!</definedName>
    <definedName name="dsadaD" hidden="1">{#N/A,#N/A,FALSE,"COVER1.XLS ";#N/A,#N/A,FALSE,"RACT1.XLS";#N/A,#N/A,FALSE,"RACT2.XLS";#N/A,#N/A,FALSE,"ECCMP";#N/A,#N/A,FALSE,"WELDER.XLS"}</definedName>
    <definedName name="dsaf">#REF!</definedName>
    <definedName name="dsasd">#N/A</definedName>
    <definedName name="DSCR">#REF!</definedName>
    <definedName name="DSCT">#REF!</definedName>
    <definedName name="dsd" hidden="1">{#N/A,#N/A,FALSE,"PMTABB";#N/A,#N/A,FALSE,"PMTABB"}</definedName>
    <definedName name="dsdafgsa" hidden="1">{"Performance Details",#N/A,FALSE,"Current Yr";"Performance Details",#N/A,FALSE,"Budget";"Performance Details",#N/A,FALSE,"Prior Year"}</definedName>
    <definedName name="DSDDE_Path">#REF!</definedName>
    <definedName name="dsdfdafd" hidden="1">{#N/A,#N/A,FALSE,"Tabl. A1";#N/A,#N/A,FALSE,"Tabl. A1 b";#N/A,#N/A,FALSE,"Tabl. A2";#N/A,#N/A,FALSE,"Tabl. A2-1";#N/A,#N/A,FALSE,"Tabl. A2-2"}</definedName>
    <definedName name="dsdfdf" hidden="1">{"'OBT_6M_30_6'!$S$1:$AE$53"}</definedName>
    <definedName name="dsdffe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sdS" hidden="1">#REF!</definedName>
    <definedName name="dsdsss">#REF!/#REF!</definedName>
    <definedName name="dse" hidden="1">{"YTDACT",#N/A,FALSE,"YTD Cum";"YTDBUD",#N/A,FALSE,"YTD Cum";"YTDPRIOR",#N/A,FALSE,"YTD Cum"}</definedName>
    <definedName name="dsfcdsfds" hidden="1">{#N/A,#N/A,FALSE,"Profit Status";#N/A,#N/A,FALSE,"Invest";#N/A,#N/A,FALSE,"Revenue";#N/A,#N/A,FALSE,"Variable Cost";#N/A,#N/A,FALSE,"Options &amp; Series"}</definedName>
    <definedName name="dsfet">#REF!</definedName>
    <definedName name="dsfgdfklhglkdflkglkjh" hidden="1">{#N/A,#N/A,FALSE,"PMTABB";#N/A,#N/A,FALSE,"PMTABB"}</definedName>
    <definedName name="dsfkljsd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rsfsdr" hidden="1">#REF!</definedName>
    <definedName name="dsfs" hidden="1">{#N/A,#N/A,FALSE,"QC REVIEW"}</definedName>
    <definedName name="dsfsaf">#REF!</definedName>
    <definedName name="dsfsd">{#N/A,#N/A,FALSE,"Title Page (2)";#N/A,#N/A,FALSE,"YTD - Pharm";#N/A,#N/A,FALSE,"MTH - Pharm"}</definedName>
    <definedName name="dsfsf" hidden="1">{"detail",#N/A,FALSE,"mfg";"summary",#N/A,FALSE,"mfg"}</definedName>
    <definedName name="dsfsffss" hidden="1">{#N/A,#N/A,FALSE,"Pharm";#N/A,#N/A,FALSE,"WWCM"}</definedName>
    <definedName name="dsg" hidden="1">{#N/A,#N/A,FALSE,"Calc";#N/A,#N/A,FALSE,"Sensitivity";#N/A,#N/A,FALSE,"LT Earn.Dil.";#N/A,#N/A,FALSE,"Dil. AVP"}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sdgsd" hidden="1">{#N/A,#N/A,FALSE,"5YRASSPl - consol'd";#N/A,#N/A,FALSE,"5YRASSPl - hotel";#N/A,#N/A,FALSE,"5YRASSPl - excl htl";#N/A,#N/A,FALSE,"VarReport";#N/A,#N/A,FALSE,"Sensitivity";#N/A,#N/A,FALSE,"House View ";#N/A,#N/A,FALSE,"KPI"}</definedName>
    <definedName name="dslfmkdslfm" hidden="1">#REF!</definedName>
    <definedName name="dss" hidden="1">{#N/A,#N/A,FALSE,"ACQ_GRAPHS";#N/A,#N/A,FALSE,"T_1 GRAPHS";#N/A,#N/A,FALSE,"T_2 GRAPHS";#N/A,#N/A,FALSE,"COMB_GRAPHS"}</definedName>
    <definedName name="DSUMDATA">#REF!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t">#REF!</definedName>
    <definedName name="dtabase">#REF!</definedName>
    <definedName name="DTAX" hidden="1">{"'I-1 and I-2'!$A$1:$G$190"}</definedName>
    <definedName name="DTBH">#REF!</definedName>
    <definedName name="dtbsmar03">#REF!</definedName>
    <definedName name="DTGraph_Show">#N/A</definedName>
    <definedName name="DTGSTD1_Click">#N/A</definedName>
    <definedName name="DTND">#REF!</definedName>
    <definedName name="dtr_creditbal">#REF!</definedName>
    <definedName name="DTRS">#REF!</definedName>
    <definedName name="dtyioeo" hidden="1">{"'BGT2001'!$A$1:$AE$112"}</definedName>
    <definedName name="Duct_Heater_Outlet">#REF!</definedName>
    <definedName name="Duct_Htr_Outlet_Rear">#REF!</definedName>
    <definedName name="Duct_Window_Defog">#REF!</definedName>
    <definedName name="DUE">#REF!</definedName>
    <definedName name="DUMMY" hidden="1">{"EVA",#N/A,FALSE,"SMT2";#N/A,#N/A,FALSE,"Summary";#N/A,#N/A,FALSE,"Graphs";#N/A,#N/A,FALSE,"4 Panel"}</definedName>
    <definedName name="duoi">#REF!</definedName>
    <definedName name="DutoanDongmo">#REF!</definedName>
    <definedName name="dvdf">#N/A</definedName>
    <definedName name="dvdz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w">#REF!</definedName>
    <definedName name="DWAX" hidden="1">{TRUE,TRUE,-1.25,-15.5,484.5,255,FALSE,FALSE,TRUE,FALSE,0,2,16,1,6,13,5,4,TRUE,TRUE,3,TRUE,1,TRUE,75,"Swvu.A.","ACwvu.A.",#N/A,FALSE,FALSE,0.2,0.22,1,0.641,2,"&amp;L&amp;""Arial,Bold""&amp;11Essar Projects LimitedEOL Refinery Project&amp;C&amp;""Arial,Bold""&amp;14TOTAL REFINERY PROJECTREFINERY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d">#REF!</definedName>
    <definedName name="dwfw">#N/A</definedName>
    <definedName name="dwfwer">#REF!</definedName>
    <definedName name="dwx" hidden="1">{"Comp_of_Price_Effect",#N/A,FALSE,"QTRDPVAR"}</definedName>
    <definedName name="DX">35.5796</definedName>
    <definedName name="dxffgx">#REF!</definedName>
    <definedName name="dzslklvn">#REF!</definedName>
    <definedName name="e">#REF!</definedName>
    <definedName name="E.12">#REF!</definedName>
    <definedName name="E.acetate">#REF!</definedName>
    <definedName name="e_1" hidden="1">{#N/A,#N/A,FALSE,"Aging Summary";#N/A,#N/A,FALSE,"Ratio Analysis";#N/A,#N/A,FALSE,"Test 120 Day Accts";#N/A,#N/A,FALSE,"Tickmarks"}</definedName>
    <definedName name="E_7">#REF!</definedName>
    <definedName name="E_NO.">#REF!</definedName>
    <definedName name="E_Sheraton">#REF!</definedName>
    <definedName name="E111a67">#REF!</definedName>
    <definedName name="E1oo">#REF!</definedName>
    <definedName name="e2k">#REF!</definedName>
    <definedName name="e2k1">#REF!</definedName>
    <definedName name="EA_op_stock">#REF!</definedName>
    <definedName name="EA_prodn">#REF!</definedName>
    <definedName name="EA_Prodn.">#REF!</definedName>
    <definedName name="EA_Sale">#REF!</definedName>
    <definedName name="eaf" hidden="1">#REF!</definedName>
    <definedName name="Eagle_Optics">#REF!</definedName>
    <definedName name="East">#REF!</definedName>
    <definedName name="EBITDA_Adj">#REF!</definedName>
    <definedName name="EBITDA_Bridge">#REF!</definedName>
    <definedName name="EBITDAMULT">#REF!</definedName>
    <definedName name="EBITDAMULT1">#REF!</definedName>
    <definedName name="EBITMULT">#REF!</definedName>
    <definedName name="EBITMULT1">#REF!</definedName>
    <definedName name="ec" hidden="1">{#N/A,#N/A,FALSE,"Aging Summary";#N/A,#N/A,FALSE,"Ratio Analysis";#N/A,#N/A,FALSE,"Test 120 Day Accts";#N/A,#N/A,FALSE,"Tickmarks"}</definedName>
    <definedName name="ECCD_I_10525219_000">#REF!</definedName>
    <definedName name="ECONOMIC_ASSUM">#REF!</definedName>
    <definedName name="ED">#REF!</definedName>
    <definedName name="Ed._Cess_2___Non_Recoverable">#REF!</definedName>
    <definedName name="Ed._Cess_2__Recoverable">#REF!</definedName>
    <definedName name="ED1_">#REF!</definedName>
    <definedName name="ED3__??_71.4_??_4.9">#REF!</definedName>
    <definedName name="ED3__회훈_71.4_신창_4.9">#REF!</definedName>
    <definedName name="edc" hidden="1">{#N/A,#N/A,FALSE,"Assumptions";#N/A,#N/A,FALSE,"Volumes";#N/A,#N/A,FALSE,"Pricing";#N/A,#N/A,FALSE,"Variable Cost";#N/A,#N/A,FALSE,"Investment";#N/A,#N/A,FALSE,"Profitability";#N/A,#N/A,FALSE,"Business Comparison"}</definedName>
    <definedName name="EDD" hidden="1">{#N/A,#N/A,FALSE,"PMTABB";#N/A,#N/A,FALSE,"PMTABB"}</definedName>
    <definedName name="edf">#REF!</definedName>
    <definedName name="EDFedf" hidden="1">{#N/A,#N/A,FALSE,"Staffnos &amp; cost"}</definedName>
    <definedName name="EDIMP">#REF!</definedName>
    <definedName name="edit_l_2_del">#REF!</definedName>
    <definedName name="EDITING_EQUIPMENTS">#REF!</definedName>
    <definedName name="eds" hidden="1">{#N/A,#N/A,FALSE,"FFM"}</definedName>
    <definedName name="edws">#REF!</definedName>
    <definedName name="EE">#REF!</definedName>
    <definedName name="EEE" hidden="1">{#N/A,#N/A,FALSE,"Pharm";#N/A,#N/A,FALSE,"WWCM"}</definedName>
    <definedName name="eee.l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e" hidden="1">{"YD LAPO2",#N/A,FALSE,"YTD"}</definedName>
    <definedName name="eeeee">#REF!</definedName>
    <definedName name="eeeeee" hidden="1">{#N/A,#N/A,FALSE,"Profit Status";#N/A,#N/A,FALSE,"Invest";#N/A,#N/A,FALSE,"Revenue";#N/A,#N/A,FALSE,"Variable Cost";#N/A,#N/A,FALSE,"Options &amp; Series"}</definedName>
    <definedName name="eeeeeee" hidden="1">{"YD LPH2",#N/A,FALSE,"YTD"}</definedName>
    <definedName name="eeeeeeee" hidden="1">{"Pg1",#N/A,FALSE,"OpExYTDvsBud";"Pg2",#N/A,FALSE,"OpExYTDvsBud"}</definedName>
    <definedName name="eeeeeeeee" hidden="1">{"Pa1",#N/A,FALSE,"OpExYTDvsPY";"Pa2",#N/A,FALSE,"OpExYTDvsPY"}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{#N/A,"PURCHM",FALSE,"Business Analysis";#N/A,"SPADD",FALSE,"Business Analysis"}</definedName>
    <definedName name="eeeeeeeeeeeee" hidden="1">{#N/A,#N/A,FALSE,"Profit Status";#N/A,#N/A,FALSE,"Invest";#N/A,#N/A,FALSE,"Revenue";#N/A,#N/A,FALSE,"Variable Cost";#N/A,#N/A,FALSE,"Options &amp; Series"}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f">#REF!</definedName>
    <definedName name="EEFVEF">#REF!</definedName>
    <definedName name="eererer" hidden="1">{"mgmt forecast",#N/A,FALSE,"Mgmt Forecast";"dcf table",#N/A,FALSE,"Mgmt Forecast";"sensitivity",#N/A,FALSE,"Mgmt Forecast";"table inputs",#N/A,FALSE,"Mgmt Forecast";"calculations",#N/A,FALSE,"Mgmt Forecast"}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esh">#REF!</definedName>
    <definedName name="eew" hidden="1">{#N/A,#N/A,FALSE,"Aging Summary";#N/A,#N/A,FALSE,"Ratio Analysis";#N/A,#N/A,FALSE,"Test 120 Day Accts";#N/A,#N/A,FALSE,"Tickmarks"}</definedName>
    <definedName name="eew_1" hidden="1">{#N/A,#N/A,FALSE,"Aging Summary";#N/A,#N/A,FALSE,"Ratio Analysis";#N/A,#N/A,FALSE,"Test 120 Day Accts";#N/A,#N/A,FALSE,"Tickmarks"}</definedName>
    <definedName name="EF">#REF!</definedName>
    <definedName name="efd" hidden="1">{"C COM Detail Qtr of",#N/A,FALSE,"DATA";"D Exp Detail Qtr of",#N/A,FALSE,"DATA"}</definedName>
    <definedName name="EFEABF">#REF!</definedName>
    <definedName name="Efficiency">#REF!</definedName>
    <definedName name="EFG" hidden="1">{"'Mach'!$A$1:$D$39"}</definedName>
    <definedName name="efzefzef" hidden="1">{#N/A,#N/A,FALSE,"Cover";#N/A,#N/A,FALSE,"Profits";#N/A,#N/A,FALSE,"ABS";#N/A,#N/A,FALSE,"TFLE Detail";#N/A,#N/A,FALSE,"TFLE Walk";#N/A,#N/A,FALSE,"Variable Cost";#N/A,#N/A,FALSE,"V.C. Walk"}</definedName>
    <definedName name="EGU">#REF!</definedName>
    <definedName name="EHTPA10.DedFromUndertaking">#REF!</definedName>
    <definedName name="EHTPA10.TotalDedUs10Sub">#REF!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fel">#REF!</definedName>
    <definedName name="EIFEL903">#REF!</definedName>
    <definedName name="EIFFEL">#REF!</definedName>
    <definedName name="eiffel5">#REF!</definedName>
    <definedName name="EIFINTRA">#REF!</definedName>
    <definedName name="EIFL">#REF!</definedName>
    <definedName name="Eight">#REF!</definedName>
    <definedName name="EIN">#REF!</definedName>
    <definedName name="eings" hidden="1">{#N/A,"PURCHM",FALSE,"Business Analysis";#N/A,"SPADD",FALSE,"Business Analysis"}</definedName>
    <definedName name="EJE">#REF!</definedName>
    <definedName name="ejkfgkjze" hidden="1">{#N/A,#N/A,FALSE,"Pharm";#N/A,#N/A,FALSE,"WWCM"}</definedName>
    <definedName name="elec_eqpmt">#REF!</definedName>
    <definedName name="Electric_Installation">#REF!</definedName>
    <definedName name="electrical">#REF!</definedName>
    <definedName name="ELGI">#REF!</definedName>
    <definedName name="Elim">#REF!</definedName>
    <definedName name="Eliminations06" hidden="1">{"'W.W. Summary'!$A$1:$K$37"}</definedName>
    <definedName name="em_Num">#REF!</definedName>
    <definedName name="Email">#REF!</definedName>
    <definedName name="eme_asp">#REF!</definedName>
    <definedName name="eme_bklg">#REF!</definedName>
    <definedName name="Eme_detail">#REF!</definedName>
    <definedName name="eme_si">#REF!</definedName>
    <definedName name="eme2_asp">#REF!</definedName>
    <definedName name="eme2_bklg">#REF!</definedName>
    <definedName name="Eme2_detail">#REF!</definedName>
    <definedName name="eme2_si">#REF!</definedName>
    <definedName name="emi">#REF!</definedName>
    <definedName name="emily" hidden="1">{#N/A,#N/A,FALSE,"Calc";#N/A,#N/A,FALSE,"Sensitivity";#N/A,#N/A,FALSE,"LT Earn.Dil.";#N/A,#N/A,FALSE,"Dil. AVP"}</definedName>
    <definedName name="EMIos">#REF!</definedName>
    <definedName name="EMP_BENFIT_EXP">#REF!</definedName>
    <definedName name="EMPL">#REF!</definedName>
    <definedName name="EMPPTY_EP">#REF!</definedName>
    <definedName name="Emps_Contacts_Info">#REF!</definedName>
    <definedName name="Emps_Info">#REF!</definedName>
    <definedName name="Empty" hidden="1">#REF!</definedName>
    <definedName name="Empty1" hidden="1">#REF!</definedName>
    <definedName name="Empty2" hidden="1">#REF!</definedName>
    <definedName name="Empty3">#REF!</definedName>
    <definedName name="Empty4">#REF!</definedName>
    <definedName name="EMVENMAR07" hidden="1">{#N/A,#N/A,FALSE,"Aging Summary";#N/A,#N/A,FALSE,"Ratio Analysis";#N/A,#N/A,FALSE,"Test 120 Day Accts";#N/A,#N/A,FALSE,"Tickmarks"}</definedName>
    <definedName name="EN_FIN">#REF!</definedName>
    <definedName name="EN_MOY">#REF!</definedName>
    <definedName name="Enalapril">#REF!</definedName>
    <definedName name="enca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_Bal">#REF!</definedName>
    <definedName name="END_ITEM_NMC">#REF!</definedName>
    <definedName name="End_Shareholding_SKG_Associates">#REF!</definedName>
    <definedName name="EndDelete">#REF!</definedName>
    <definedName name="EndDelete2">#REF!</definedName>
    <definedName name="EndFormat">#REF!</definedName>
    <definedName name="EndFSPeriod">#REF!</definedName>
    <definedName name="EndingInventory">#REF!</definedName>
    <definedName name="EndLB_Calc">#REF!</definedName>
    <definedName name="EndLB_Paste">#REF!</definedName>
    <definedName name="EndShareholding_SKG_Associates">#REF!</definedName>
    <definedName name="eng">#REF!</definedName>
    <definedName name="ENG_COOLG">#REF!</definedName>
    <definedName name="ENGG">#REF!</definedName>
    <definedName name="engineer">#REF!</definedName>
    <definedName name="engineerwise_target_total">#REF!</definedName>
    <definedName name="ENGL">#REF!</definedName>
    <definedName name="ENGLAND">#REF!</definedName>
    <definedName name="ENGPL">#REF!</definedName>
    <definedName name="ENTER">#REF!</definedName>
    <definedName name="Enter_number">#REF!</definedName>
    <definedName name="Enterprise_value">#REF!</definedName>
    <definedName name="Entertain">#REF!</definedName>
    <definedName name="entities">#REF!</definedName>
    <definedName name="Entity_Description">#REF!</definedName>
    <definedName name="Entity_Info">#REF!</definedName>
    <definedName name="ENVASADO">#REF!</definedName>
    <definedName name="ENVASADO_TIPOS">#REF!</definedName>
    <definedName name="ENVASPIN">#REF!</definedName>
    <definedName name="EO">#REF!</definedName>
    <definedName name="EO??" hidden="1">#REF!</definedName>
    <definedName name="EO???">#REF!</definedName>
    <definedName name="eoflsru" hidden="1">{"QTD",#N/A,FALSE,"SUM"}</definedName>
    <definedName name="EOH">#N/A</definedName>
    <definedName name="EOH_UC">#N/A</definedName>
    <definedName name="EOHAMT">#N/A</definedName>
    <definedName name="EOHQTY">#N/A</definedName>
    <definedName name="eoil" hidden="1">{"detail",#N/A,FALSE,"mfg";"summary",#N/A,FALSE,"mfg"}</definedName>
    <definedName name="EOLsupplyLC" hidden="1">{#N/A,#N/A,FALSE,"PMTABB";#N/A,#N/A,FALSE,"PMTABB"}</definedName>
    <definedName name="EOLsupplyLC_2" hidden="1">{#N/A,#N/A,FALSE,"PMTABB";#N/A,#N/A,FALSE,"PMTABB"}</definedName>
    <definedName name="EOLsupplyLC_3" hidden="1">{#N/A,#N/A,FALSE,"PMTABB";#N/A,#N/A,FALSE,"PMTABB"}</definedName>
    <definedName name="EOLsupplyLC_4" hidden="1">{#N/A,#N/A,FALSE,"PMTABB";#N/A,#N/A,FALSE,"PMTABB"}</definedName>
    <definedName name="EO관리신">#REF!</definedName>
    <definedName name="EP">#REF!</definedName>
    <definedName name="EP_BUDCONTN">#REF!</definedName>
    <definedName name="Ep_pièce">#REF!</definedName>
    <definedName name="EP_SUM">#REF!</definedName>
    <definedName name="EPABX">#REF!</definedName>
    <definedName name="Epaisseur">#REF!</definedName>
    <definedName name="EPC">{"Client Name or Project Name"}</definedName>
    <definedName name="EPCG">#REF!</definedName>
    <definedName name="EPMWorkbookOptions_1" hidden="1">"SAEAAB|LCAAAAAAABADsvQdgHEmWJSYvbcp7f0r1StfgdKEIgGATJNiQQBDswYjN5pLsHWlHIymrKoHKZVZlXWYWQMztnbz33nvvvffee||997o7nU4n99//P1xmZAFs9s5K2smeIYCqyB8/fnwfPyIe/x7vFmV6mddNUS0/|2h3vPNRmi|n1axYXnz20bo939799KPf4|g3Th5/t6rfTqrq7Zerlpo2Kb23bB69a4rPPpq37erR3btXV1fjq3v"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"jqr64u7ezs3v39/7i|evpPF9k28WyabPlNP/IvjW7|a2PqNc0ffwqP6/zZv7l8stVvjw6z8omf3w3/JDbnZR5Vj/N2uzL5evsMjctux9zWzOWl3XV5tM2n5nW/S/C9lez9C6IYRsqNY7|nwAAAP//Sn4wTEgBAAA="</definedName>
    <definedName name="ePor_Date">#REF!</definedName>
    <definedName name="EPZA10.DedFromUndertaking">#REF!</definedName>
    <definedName name="EPZA10.TotalDedUs10Sub">#REF!</definedName>
    <definedName name="EQ">#REF!</definedName>
    <definedName name="eqeer">#REF!</definedName>
    <definedName name="EQTY">#REF!</definedName>
    <definedName name="equa">#REF!</definedName>
    <definedName name="equal">#REF!</definedName>
    <definedName name="EQUIPMENT_DESIG">#REF!</definedName>
    <definedName name="EQUIPMENT_NO.">#REF!</definedName>
    <definedName name="EQUITY">#REF!</definedName>
    <definedName name="Equity_Size">#REF!</definedName>
    <definedName name="equity97">#REF!</definedName>
    <definedName name="equitydata">#REF!</definedName>
    <definedName name="er" hidden="1">{"A COM Detail YTD",#N/A,FALSE,"DATA";"B Exp Detail YTD",#N/A,FALSE,"DATA"}</definedName>
    <definedName name="ERC">#REF!</definedName>
    <definedName name="erd" hidden="1">{#N/A,#N/A,FALSE,"Pharm";#N/A,#N/A,FALSE,"WWCM"}</definedName>
    <definedName name="ERERW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g">#REF!</definedName>
    <definedName name="ergd">#REF!</definedName>
    <definedName name="ergdf">#REF!</definedName>
    <definedName name="erl">#REF!</definedName>
    <definedName name="err">{#N/A,#N/A,FALSE,"Sales Graph";#N/A,#N/A,FALSE,"BUC Graph";#N/A,#N/A,FALSE,"P&amp;L - YTD"}</definedName>
    <definedName name="err.g." hidden="1">{#N/A,#N/A,FALSE,"KA CH  (2)"}</definedName>
    <definedName name="errr.g" hidden="1">{#N/A,#N/A,FALSE,"KA CH  (2)"}</definedName>
    <definedName name="erryeyetyuu" hidden="1">{#N/A,#N/A,FALSE,"Pharm";#N/A,#N/A,FALSE,"WWCM"}</definedName>
    <definedName name="ErstattungEntwicklung">#REF!</definedName>
    <definedName name="ert">#REF!</definedName>
    <definedName name="ertet" hidden="1">{#N/A,#N/A,FALSE,"QC REVIEW"}</definedName>
    <definedName name="ertetr" hidden="1">{#N/A,#N/A,FALSE,"QC REVIEW"}</definedName>
    <definedName name="ERTFDSG" hidden="1">{#N/A,#N/A,FALSE,"PGW"}</definedName>
    <definedName name="ERTFDSG_1" hidden="1">{#N/A,#N/A,FALSE,"PGW"}</definedName>
    <definedName name="ERTFDSG_2" hidden="1">{#N/A,#N/A,FALSE,"PGW"}</definedName>
    <definedName name="ERTFDSG_3" hidden="1">{#N/A,#N/A,FALSE,"PGW"}</definedName>
    <definedName name="ERTFDSG_4" hidden="1">{#N/A,#N/A,FALSE,"PGW"}</definedName>
    <definedName name="ertr" hidden="1">{#N/A,#N/A,FALSE,"Umsatz 99";#N/A,#N/A,FALSE,"ER 99 "}</definedName>
    <definedName name="ertyt" hidden="1">{#N/A,#N/A,FALSE,"QC REVIEW"}</definedName>
    <definedName name="ervnj" hidden="1">{"YTDACT",#N/A,FALSE,"YTD Cum";"YTDBUD",#N/A,FALSE,"YTD Cum";"YTDPRIOR",#N/A,FALSE,"YTD Cum"}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erwerwe" hidden="1">#REF!</definedName>
    <definedName name="eryery" hidden="1">{TRUE,TRUE,-1.25,-15.5,484.5,255,FALSE,FALSE,TRUE,FALSE,0,2,16,1,6,13,5,4,TRUE,TRUE,3,TRUE,1,TRUE,75,"Swvu.A.","ACwvu.A.",#N/A,FALSE,FALSE,0.2,0.22,1,0.641,2,"&amp;L&amp;""Arial,Bold""&amp;11Essar Projects LimitedEOL Refinery Project&amp;C&amp;""Arial,Bold""&amp;14TOTAL REFINERY PROJECTREFINERY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C">#REF!</definedName>
    <definedName name="ESI">#REF!</definedName>
    <definedName name="ESL">#REF!</definedName>
    <definedName name="Esomeprz_meg">#REF!</definedName>
    <definedName name="ESPP">#REF!</definedName>
    <definedName name="ESSAI" hidden="1">{#N/A,#N/A,FALSE,"Pharm";#N/A,#N/A,FALSE,"WWCM"}</definedName>
    <definedName name="EssAliasTable">"Default"</definedName>
    <definedName name="Essar" hidden="1">{#N/A,#N/A,FALSE,"PMTABB";#N/A,#N/A,FALSE,"PMTABB"}</definedName>
    <definedName name="EssOptions">"110000000003000_0"</definedName>
    <definedName name="est">#REF!</definedName>
    <definedName name="ESTIMATE">#REF!</definedName>
    <definedName name="Estimate_Mar7">#REF!</definedName>
    <definedName name="estimate_to_complete">#REF!</definedName>
    <definedName name="EstimatedTaxMonth1Actuals">#REF!</definedName>
    <definedName name="EstimatedTaxMonth1Budget">#REF!</definedName>
    <definedName name="EstimatedTaxMonth2Actuals">#REF!</definedName>
    <definedName name="EstimatedTaxMonth2Budget">#REF!</definedName>
    <definedName name="EstimatedTaxMonth3Actuals">#REF!</definedName>
    <definedName name="EstimatedTaxMonth3Budget">#REF!</definedName>
    <definedName name="EstimatedTaxMonth4Actuals">#REF!</definedName>
    <definedName name="EstimatedTaxMonth4Budget">#REF!</definedName>
    <definedName name="EstimatedTaxMonth5Actuals">#REF!</definedName>
    <definedName name="EstimatedTaxMonth5Budget">#REF!</definedName>
    <definedName name="etc" hidden="1">#REF!</definedName>
    <definedName name="etc_1">"#REF!"</definedName>
    <definedName name="etc_2">"#REF!"</definedName>
    <definedName name="etc_3">"#REF!"</definedName>
    <definedName name="etc_4">"#REF!"</definedName>
    <definedName name="etc_5">"#REF!"</definedName>
    <definedName name="etertert" hidden="1">{#N/A,#N/A,FALSE,"QC REVIEW"}</definedName>
    <definedName name="etet" hidden="1">{#N/A,#N/A,FALSE,"Calc";#N/A,#N/A,FALSE,"Sensitivity";#N/A,#N/A,FALSE,"LT Earn.Dil.";#N/A,#N/A,FALSE,"Dil. AVP"}</definedName>
    <definedName name="etete" hidden="1">{#N/A,#N/A,FALSE,"QC REVIEW"}</definedName>
    <definedName name="etetete" hidden="1">{#N/A,#N/A,FALSE,"QC REVIEW"}</definedName>
    <definedName name="ETUDE_No">#REF!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HQ">#REF!</definedName>
    <definedName name="Eur_Actual_1Q02">#REF!</definedName>
    <definedName name="Eur_Actual_4Q01">#REF!</definedName>
    <definedName name="eur_asp">#REF!</definedName>
    <definedName name="eur_bklg">#REF!</definedName>
    <definedName name="eur_col">#REF!</definedName>
    <definedName name="Eur_detail">#REF!</definedName>
    <definedName name="eur_dist">#REF!</definedName>
    <definedName name="Eur_Estimate_Apr18">#REF!</definedName>
    <definedName name="Eur_Estimate_Feb18">#REF!</definedName>
    <definedName name="Eur_Estimate_Mar20">#REF!</definedName>
    <definedName name="Eur_Estimate_Mar7">#REF!</definedName>
    <definedName name="Eur_Estimate_May28">#REF!</definedName>
    <definedName name="eur_gpc">#REF!</definedName>
    <definedName name="Eur_inv">#REF!</definedName>
    <definedName name="eur_mmsdist">#REF!</definedName>
    <definedName name="eur_mmsgpc">#REF!</definedName>
    <definedName name="Eur_Ops">#REF!</definedName>
    <definedName name="eur_other">#REF!</definedName>
    <definedName name="eur_parts">#REF!</definedName>
    <definedName name="Eur_prior">#REF!</definedName>
    <definedName name="Eur_PSI">#REF!</definedName>
    <definedName name="eur_ripwip">#REF!</definedName>
    <definedName name="eur_si">#REF!</definedName>
    <definedName name="Eur_Target_1q">#REF!</definedName>
    <definedName name="Eur_Target_2Q">#REF!</definedName>
    <definedName name="Eur_to_Oz">#REF!</definedName>
    <definedName name="EURcashrecd">#REF!</definedName>
    <definedName name="EURdivrecbl">#REF!</definedName>
    <definedName name="EURexp">#REF!</definedName>
    <definedName name="EURexppaid">#REF!</definedName>
    <definedName name="EURinc">#REF!</definedName>
    <definedName name="EURO">#REF!</definedName>
    <definedName name="europe">#REF!</definedName>
    <definedName name="Europe_and_Asia_Growth">#REF!</definedName>
    <definedName name="EUROPEAN_HQ">#REF!</definedName>
    <definedName name="EURpayable">#REF!</definedName>
    <definedName name="EURpybl">#REF!</definedName>
    <definedName name="EURrecbl">#REF!</definedName>
    <definedName name="ev">#REF!</definedName>
    <definedName name="EV__EVCOM_OPTIONS__" hidden="1">8</definedName>
    <definedName name="EV__EXPOPTIONS__" hidden="1">0</definedName>
    <definedName name="EV__LASTREFTIME__" hidden="1">40280.3830671296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134217732</definedName>
    <definedName name="EV__WBVERSION__" hidden="1">0</definedName>
    <definedName name="eva">#REF!</definedName>
    <definedName name="EVA_Data_Perc">#REF!</definedName>
    <definedName name="Evap_asy___A_C">#REF!</definedName>
    <definedName name="Evaporator___Blower__Asy">#REF!</definedName>
    <definedName name="Evaporator_Asy_A_C">#REF!</definedName>
    <definedName name="EVIDSVCHVXJ" hidden="1">{"'OBT_6M_30_6'!$S$1:$AE$53"}</definedName>
    <definedName name="ew" hidden="1">{#N/A,#N/A,TRUE,"SCR-LA 2000";#N/A,#N/A,TRUE,"SCR-LA 2001";#N/A,#N/A,TRUE,"SCR-LA 2002";#N/A,#N/A,TRUE,"SCR-LA 2003"}</definedName>
    <definedName name="ewaw" hidden="1">{"Act_vs_Budget",#N/A,FALSE,"QTRDPVAR";"Act_vs_Prior_Year",#N/A,FALSE,"QTRDPVAR"}</definedName>
    <definedName name="EWB">#REF!</definedName>
    <definedName name="ewdwqd" hidden="1">{#N/A,"PURCHM",FALSE,"Business Analysis";#N/A,"SPADD",FALSE,"Business Analysis"}</definedName>
    <definedName name="ewee">#REF!</definedName>
    <definedName name="ewer">#REF!</definedName>
    <definedName name="ewq" hidden="1">{"oct_res_comm",#N/A,FALSE,"VarToBud"}</definedName>
    <definedName name="ewrwerw" hidden="1">{#N/A,#N/A,FALSE,"QC REVIEW"}</definedName>
    <definedName name="ewv" hidden="1">{"Page1",#N/A,FALSE,"OpExJanvsBud";"Page2",#N/A,FALSE,"OpExJanvsBud"}</definedName>
    <definedName name="ewwe" hidden="1">{#N/A,#N/A,FALSE,"REPORT"}</definedName>
    <definedName name="EWWF" hidden="1">{#N/A,#N/A,FALSE,"FINAL"}</definedName>
    <definedName name="ewwq">#REF!,#REF!</definedName>
    <definedName name="ex">#REF!</definedName>
    <definedName name="Ex.Cost">#REF!</definedName>
    <definedName name="EX_INDIA">#REF!</definedName>
    <definedName name="EX_RATE">#REF!</definedName>
    <definedName name="EX_SUMMARY">#REF!</definedName>
    <definedName name="EX9091_">#N/A</definedName>
    <definedName name="ExactAddinReports" hidden="1">1</definedName>
    <definedName name="example_irr">#REF!</definedName>
    <definedName name="example_variances">#REF!</definedName>
    <definedName name="EXBL">#REF!</definedName>
    <definedName name="exc" hidden="1">{"'Sheet1'!$A$4386:$N$4591"}</definedName>
    <definedName name="excel_buil">#REF!</definedName>
    <definedName name="Excel_BuiltIn__FilterDatabase">#REF!</definedName>
    <definedName name="Excel_BuiltIn__FilterDatabase_1">#REF!</definedName>
    <definedName name="Excel_BuiltIn__FilterDatabase_1_1">#REF!</definedName>
    <definedName name="Excel_BuiltIn__FilterDatabase_10">#REF!</definedName>
    <definedName name="Excel_BuiltIn__FilterDatabase_12">#REF!</definedName>
    <definedName name="Excel_BuiltIn__FilterDatabase_14">#REF!</definedName>
    <definedName name="Excel_BuiltIn__FilterDatabase_15">#REF!</definedName>
    <definedName name="Excel_BuiltIn__FilterDatabase_16">#REF!</definedName>
    <definedName name="Excel_BuiltIn__FilterDatabase_17">#REF!</definedName>
    <definedName name="Excel_BuiltIn__FilterDatabase_17_1">#REF!</definedName>
    <definedName name="Excel_BuiltIn__FilterDatabase_18">#REF!</definedName>
    <definedName name="Excel_BuiltIn__FilterDatabase_2">#REF!</definedName>
    <definedName name="Excel_BuiltIn__FilterDatabase_2_1">#REF!</definedName>
    <definedName name="Excel_BuiltIn__FilterDatabase_20">#REF!</definedName>
    <definedName name="Excel_BuiltIn__FilterDatabase_21">#REF!</definedName>
    <definedName name="Excel_BuiltIn__FilterDatabase_21_1">#REF!</definedName>
    <definedName name="Excel_BuiltIn__FilterDatabase_24">"$#REF!.$A$5:$C$382"</definedName>
    <definedName name="Excel_BuiltIn__FilterDatabase_24_1">"$#REF!.$A$5:$C$382"</definedName>
    <definedName name="Excel_BuiltIn__FilterDatabase_3">NA()</definedName>
    <definedName name="Excel_BuiltIn__FilterDatabase_3_1">#REF!</definedName>
    <definedName name="Excel_BuiltIn__FilterDatabase_3_1_1">#REF!</definedName>
    <definedName name="Excel_BuiltIn__FilterDatabase_4">#REF!</definedName>
    <definedName name="Excel_BuiltIn__FilterDatabase_4_1">#REF!</definedName>
    <definedName name="Excel_BuiltIn__FilterDatabase_43">NA()</definedName>
    <definedName name="Excel_BuiltIn__FilterDatabase_44">NA()</definedName>
    <definedName name="Excel_BuiltIn__FilterDatabase_5">#REF!</definedName>
    <definedName name="Excel_BuiltIn__FilterDatabase_5_1">#REF!</definedName>
    <definedName name="Excel_BuiltIn__FilterDatabase_6">NA()</definedName>
    <definedName name="Excel_BuiltIn__FilterDatabase_7">NA()</definedName>
    <definedName name="Excel_BuiltIn__FilterDatabase_76_1">NA()</definedName>
    <definedName name="Excel_BuiltIn__FilterDatabase_78">NA()</definedName>
    <definedName name="Excel_BuiltIn__FilterDatabase_8">NA()</definedName>
    <definedName name="Excel_BuiltIn__FilterDatabase_8_1">#REF!</definedName>
    <definedName name="Excel_BuiltIn__FilterDatabase_8_1_1">#REF!</definedName>
    <definedName name="Excel_BuiltIn__FilterDatabase_80">NA()</definedName>
    <definedName name="Excel_BuiltIn_Database">#REF!</definedName>
    <definedName name="Excel_BuiltIn_Print_Area">#REF!</definedName>
    <definedName name="Excel_BuiltIn_Print_Area_1">#REF!</definedName>
    <definedName name="Excel_BuiltIn_Print_Area_1_1">(#REF!,#REF!)</definedName>
    <definedName name="Excel_BuiltIn_Print_Area_1_1_1">#REF!</definedName>
    <definedName name="Excel_BuiltIn_Print_Area_10">#REF!</definedName>
    <definedName name="Excel_BuiltIn_Print_Area_10_1_1">"$335_3393_0001.$A$#REF!:$F$#REF!"</definedName>
    <definedName name="Excel_BuiltIn_Print_Area_10_1_1_1">#REF!</definedName>
    <definedName name="Excel_BuiltIn_Print_Area_11">#REF!</definedName>
    <definedName name="Excel_BuiltIn_Print_Area_11_1">"$#REF!.$A$1:$H$47"</definedName>
    <definedName name="Excel_BuiltIn_Print_Area_11_1_1">"$335_3362_0001.$A$#REF!:$F$#REF!"</definedName>
    <definedName name="Excel_BuiltIn_Print_Area_11_1_1_1_1">#REF!</definedName>
    <definedName name="Excel_BuiltIn_Print_Area_11_1_1_1_1_1_1">#REF!</definedName>
    <definedName name="Excel_BuiltIn_Print_Area_12">#REF!</definedName>
    <definedName name="Excel_BuiltIn_Print_Area_12_1">#REF!</definedName>
    <definedName name="Excel_BuiltIn_Print_Area_12_1_1_1">"$335_3360_0001.$A$#REF!:$E$#REF!"</definedName>
    <definedName name="Excel_BuiltIn_Print_Area_13">"$#REF!.$A$48:$H$58"</definedName>
    <definedName name="Excel_BuiltIn_Print_Area_13_1">#REF!</definedName>
    <definedName name="Excel_BuiltIn_Print_Area_13_1_1_1">"$335_3344_0001.$A$#REF!:$F$#REF!"</definedName>
    <definedName name="Excel_BuiltIn_Print_Area_14">"$#REF!.$A$1:$G$38"</definedName>
    <definedName name="Excel_BuiltIn_Print_Area_14_1">"$335_3390_0001.$A$#REF!:$F$#REF!"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6_1">#REF!</definedName>
    <definedName name="Excel_BuiltIn_Print_Area_17">#REF!</definedName>
    <definedName name="Excel_BuiltIn_Print_Area_18">#REF!</definedName>
    <definedName name="Excel_BuiltIn_Print_Area_18_1">#REF!</definedName>
    <definedName name="Excel_BuiltIn_Print_Area_19">#REF!</definedName>
    <definedName name="Excel_BuiltIn_Print_Area_2">#REF!</definedName>
    <definedName name="Excel_BuiltIn_Print_Area_2_1">"$#REF!.$Z$325:$AE$331"</definedName>
    <definedName name="Excel_BuiltIn_Print_Area_2_1_1">#REF!</definedName>
    <definedName name="Excel_BuiltIn_Print_Area_2_1_1_1">"$#REF!.$A$1:$D$100"</definedName>
    <definedName name="Excel_BuiltIn_Print_Area_20">#REF!</definedName>
    <definedName name="Excel_BuiltIn_Print_Area_21">#REF!</definedName>
    <definedName name="Excel_BuiltIn_Print_Area_24">#REF!</definedName>
    <definedName name="Excel_BuiltIn_Print_Area_28_1">#REF!</definedName>
    <definedName name="Excel_BuiltIn_Print_Area_28_1_1">#REF!</definedName>
    <definedName name="Excel_BuiltIn_Print_Area_28_1_1_1">#REF!</definedName>
    <definedName name="Excel_BuiltIn_Print_Area_28_1_1_1_1">#REF!</definedName>
    <definedName name="Excel_BuiltIn_Print_Area_29_1">#REF!</definedName>
    <definedName name="Excel_BuiltIn_Print_Area_29_1_1">#REF!</definedName>
    <definedName name="Excel_BuiltIn_Print_Area_29_1_1_1">#REF!</definedName>
    <definedName name="Excel_BuiltIn_Print_Area_3">"$#REF!.$A$1:$N$53"</definedName>
    <definedName name="Excel_BuiltIn_Print_Area_3___0">"$#REF!.$A$1:$N$53"</definedName>
    <definedName name="Excel_BuiltIn_Print_Area_3_1">#REF!</definedName>
    <definedName name="Excel_BuiltIn_Print_Area_3_1_1_1_1_1">"$#REF!.$A$1:$G$50"</definedName>
    <definedName name="Excel_BuiltIn_Print_Area_4">"$#REF!.$B$2:$J$18"</definedName>
    <definedName name="Excel_BuiltIn_Print_Area_4___0">"$#REF!.$A$1:$J$19"</definedName>
    <definedName name="Excel_BuiltIn_Print_Area_4_1">#REF!</definedName>
    <definedName name="Excel_BuiltIn_Print_Area_4_1_1_1_1_1">"$158_9999_0001.$A$#REF!:$G$#REF!"</definedName>
    <definedName name="Excel_BuiltIn_Print_Area_5">#REF!</definedName>
    <definedName name="Excel_BuiltIn_Print_Area_5_1">#REF!</definedName>
    <definedName name="Excel_BuiltIn_Print_Area_5_1_1">"$#REF!.$A$1:$F$39"</definedName>
    <definedName name="Excel_BuiltIn_Print_Area_5_1_1_1">#REF!</definedName>
    <definedName name="Excel_BuiltIn_Print_Area_5_1_1_1_1">"$Sheet6.$B$#REF!:$L$#REF!"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"$322_9999_period.$A$#REF!:$F$#REF!"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_1">"$#REF!.$A$1:$F$28"</definedName>
    <definedName name="Excel_BuiltIn_Print_Area_8">NA()</definedName>
    <definedName name="Excel_BuiltIn_Print_Area_8_1">#REF!</definedName>
    <definedName name="Excel_BuiltIn_Print_Area_8_1_1">"$335_3340_0001.$A$#REF!:$F$#REF!"</definedName>
    <definedName name="Excel_BuiltIn_Print_Area_8_1_1_1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"$335_3380_0001.$A$#REF!:$G$#REF!"</definedName>
    <definedName name="Excel_BuiltIn_Print_Titles">#REF!</definedName>
    <definedName name="Excel_BuiltIn_Print_Titles_0">"$#ref!.$a$1:$#ref!.$II$12"</definedName>
    <definedName name="Excel_BuiltIn_Print_Titles_1">#REF!</definedName>
    <definedName name="Excel_BuiltIn_Print_Titles_3_1">#REF!</definedName>
    <definedName name="Excel_BuiltIn_Print_Titles_4_1">#REF!</definedName>
    <definedName name="Excel_BuiltIn_Print_Titles_6">NA()</definedName>
    <definedName name="Excel_BuiltIn_Print_Titles_8">NA()</definedName>
    <definedName name="Excel_Version">#REF!</definedName>
    <definedName name="ExcelOutput">#REF!</definedName>
    <definedName name="Exceptionals">#REF!</definedName>
    <definedName name="excess_count">#N/A</definedName>
    <definedName name="EXCH">#REF!</definedName>
    <definedName name="Exch_R">#REF!</definedName>
    <definedName name="EXCHANGE" hidden="1">{"'subnets'!$A$1:$F$20"}</definedName>
    <definedName name="exchange_rate">#REF!</definedName>
    <definedName name="ExchangeFluctuation">#REF!</definedName>
    <definedName name="Excise_amount">#REF!</definedName>
    <definedName name="Excise_recovery">#REF!</definedName>
    <definedName name="EXEC1">#REF!</definedName>
    <definedName name="EXEC2">#REF!</definedName>
    <definedName name="ExecLegalPR2">#REF!</definedName>
    <definedName name="exempt_inc">#REF!</definedName>
    <definedName name="exhibit1">#REF!</definedName>
    <definedName name="EXHPL">#REF!</definedName>
    <definedName name="EXHT" hidden="1">15</definedName>
    <definedName name="EXIT">#REF!</definedName>
    <definedName name="exit.mult">#REF!</definedName>
    <definedName name="EXIT1">#REF!</definedName>
    <definedName name="EXNOI">#REF!</definedName>
    <definedName name="EXP">#REF!</definedName>
    <definedName name="Exp_cases">#REF!</definedName>
    <definedName name="EXP_COS">#N/A</definedName>
    <definedName name="Exp_direct">#REF!</definedName>
    <definedName name="Exp_indirect">#REF!</definedName>
    <definedName name="EXP_SALE">#N/A</definedName>
    <definedName name="ExpandOutputs">#REF!</definedName>
    <definedName name="ExpandVPeriods">#REF!</definedName>
    <definedName name="EXPANT">#REF!</definedName>
    <definedName name="EXPCR">#REF!</definedName>
    <definedName name="expcr1">#REF!</definedName>
    <definedName name="Expected_balance">#REF!</definedName>
    <definedName name="expenduring">#REF!</definedName>
    <definedName name="Expense">#REF!</definedName>
    <definedName name="Expense_Growth_1">#REF!</definedName>
    <definedName name="Expense_Growth_2">#REF!</definedName>
    <definedName name="Expense_Growth_3">#REF!</definedName>
    <definedName name="EXPENSES">#REF!</definedName>
    <definedName name="EXPIN">#REF!</definedName>
    <definedName name="ExpIntRate">#REF!</definedName>
    <definedName name="EXPL">#REF!</definedName>
    <definedName name="ExpNutrTotal">#REF!</definedName>
    <definedName name="EXPORT_BENEFIT_RECEIVABLE">#REF!</definedName>
    <definedName name="ExportAdvance">#REF!</definedName>
    <definedName name="EXPORTFF">#REF!</definedName>
    <definedName name="ExportFile">#REF!</definedName>
    <definedName name="EXPORTLIT">#REF!</definedName>
    <definedName name="EXPORTSTERLINE">#REF!</definedName>
    <definedName name="EXPORTUSA">#REF!</definedName>
    <definedName name="ExposureFees_Calc">#REF!</definedName>
    <definedName name="ExposureFees_Inp">#REF!</definedName>
    <definedName name="ExposureFees_Input">#REF!</definedName>
    <definedName name="ExpOTCTotal">#REF!</definedName>
    <definedName name="EXPREAL">#REF!</definedName>
    <definedName name="ExpRxTotal">#REF!</definedName>
    <definedName name="EXPSALE">#N/A</definedName>
    <definedName name="EXRATE">#REF!</definedName>
    <definedName name="ExrateBt">#REF!</definedName>
    <definedName name="ExrateBt_16">#REF!</definedName>
    <definedName name="ExrateBt_17">#REF!</definedName>
    <definedName name="ExrateBt_4">#REF!</definedName>
    <definedName name="ExrateInd">#REF!</definedName>
    <definedName name="ExrateInd_16">#REF!</definedName>
    <definedName name="ExrateInd_17">#REF!</definedName>
    <definedName name="ExrateInd_4">#REF!</definedName>
    <definedName name="ExrateRMB">#REF!</definedName>
    <definedName name="ExrateSing">#REF!</definedName>
    <definedName name="ExrateSing_16">#REF!</definedName>
    <definedName name="ExrateSing_17">#REF!</definedName>
    <definedName name="ExrateSing_4">#REF!</definedName>
    <definedName name="ExrateUS">#REF!</definedName>
    <definedName name="ExrateUS_16">#REF!</definedName>
    <definedName name="ExrateUS_17">#REF!</definedName>
    <definedName name="ExrateUS_4">#REF!</definedName>
    <definedName name="Ext_EP" hidden="1">{"'kpi2-1'!$E$4"}</definedName>
    <definedName name="External_Costs">#REF!</definedName>
    <definedName name="External_Files">#REF!</definedName>
    <definedName name="External_Time_to_Start__Total">#REF!</definedName>
    <definedName name="ExternalData1">#REF!</definedName>
    <definedName name="ExtFiles">#REF!</definedName>
    <definedName name="Extra_Pay">#REF!</definedName>
    <definedName name="Extra_Shift_Depreciation_on_Studio">#REF!</definedName>
    <definedName name="_xlnm.Extract">#REF!</definedName>
    <definedName name="Extract_MI">#REF!</definedName>
    <definedName name="ExtraordinaryItemsMonth1Actuals">#REF!</definedName>
    <definedName name="ExtraordinaryItemsMonth1Budget">#REF!</definedName>
    <definedName name="ExtraordinaryItemsMonth2Actuals">#REF!</definedName>
    <definedName name="ExtraordinaryItemsMonth2Budget">#REF!</definedName>
    <definedName name="ExtraordinaryItemsMonth3Actuals">#REF!</definedName>
    <definedName name="ExtraordinaryItemsMonth3Budget">#REF!</definedName>
    <definedName name="ExtraordinaryItemsMonth4Actuals">#REF!</definedName>
    <definedName name="ExtraordinaryItemsMonth4Budget">#REF!</definedName>
    <definedName name="ExtraordinaryItemsYTDActuals">#REF!</definedName>
    <definedName name="ExtraordinaryItemsYTDBudget">#REF!</definedName>
    <definedName name="eyc_30">#REF!</definedName>
    <definedName name="eyc_31">#REF!</definedName>
    <definedName name="eyc_32">#REF!</definedName>
    <definedName name="eyc_33">#REF!</definedName>
    <definedName name="eyc_34">#REF!</definedName>
    <definedName name="eyc_40">#REF!</definedName>
    <definedName name="eyc_50">#REF!</definedName>
    <definedName name="eyc_51">#REF!</definedName>
    <definedName name="eyc_52">#REF!</definedName>
    <definedName name="eyc_53">#REF!</definedName>
    <definedName name="eyc_54">#REF!</definedName>
    <definedName name="eyc_55">#REF!</definedName>
    <definedName name="eyc_actual30">#REF!</definedName>
    <definedName name="eyc_actual31">#REF!</definedName>
    <definedName name="eyc_actual32">#REF!</definedName>
    <definedName name="eyc_actual33">#REF!</definedName>
    <definedName name="eyc_actual34">#REF!</definedName>
    <definedName name="eyc_actual40">#REF!</definedName>
    <definedName name="eyc_actual50">#REF!</definedName>
    <definedName name="eyc_actual51">#REF!</definedName>
    <definedName name="eyc_actual52">#REF!</definedName>
    <definedName name="eyc_actual53">#REF!</definedName>
    <definedName name="eyc_actual54">#REF!</definedName>
    <definedName name="eyc_actual55">#REF!</definedName>
    <definedName name="eyc_ae_ex">#REF!</definedName>
    <definedName name="eyc_ae_mh">#REF!</definedName>
    <definedName name="eyc_ae_mi">#REF!</definedName>
    <definedName name="eyc_ae_mlf">#REF!</definedName>
    <definedName name="eyc_as_ex">#REF!</definedName>
    <definedName name="eyc_as_mh">#REF!</definedName>
    <definedName name="eyc_as_mi">#REF!</definedName>
    <definedName name="eyc_as_mlf">#REF!</definedName>
    <definedName name="eyc_enc_ex">#REF!</definedName>
    <definedName name="eyc_enc_mh">#REF!</definedName>
    <definedName name="eyc_enc_mi">#REF!</definedName>
    <definedName name="eyc_enc_mlf">#REF!</definedName>
    <definedName name="EYColumnHeading">#REF!</definedName>
    <definedName name="eydsr" hidden="1">{#N/A,"PURCHM",FALSE,"Business Analysis";#N/A,"SPADD",FALSE,"Business Analysis"}</definedName>
    <definedName name="eysection">#REF!</definedName>
    <definedName name="f">#REF!</definedName>
    <definedName name="f.asset">#REF!</definedName>
    <definedName name="f.ffff" hidden="1">{#N/A,#N/A,FALSE,"Umsatz 99";#N/A,#N/A,FALSE,"ER 99 "}</definedName>
    <definedName name="F_1">#N/A</definedName>
    <definedName name="f_16">#REF!</definedName>
    <definedName name="f_17">#REF!</definedName>
    <definedName name="F_2">#N/A</definedName>
    <definedName name="F_3">#N/A</definedName>
    <definedName name="F_4">#N/A</definedName>
    <definedName name="F_5">#N/A</definedName>
    <definedName name="F_A">#REF!</definedName>
    <definedName name="F_F">#REF!</definedName>
    <definedName name="F_INGRESO">#REF!</definedName>
    <definedName name="F_SHIFT_SUM">#REF!</definedName>
    <definedName name="FA">#REF!</definedName>
    <definedName name="fa.xls" hidden="1">{#N/A,#N/A,FALSE,"Full";#N/A,#N/A,FALSE,"Half";#N/A,#N/A,FALSE,"Op Expenses";#N/A,#N/A,FALSE,"Cap Charge";#N/A,#N/A,FALSE,"Cost C";#N/A,#N/A,FALSE,"PP&amp;E";#N/A,#N/A,FALSE,"R&amp;D"}</definedName>
    <definedName name="faa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AB">#N/A</definedName>
    <definedName name="FAC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FACL">#REF!</definedName>
    <definedName name="fact_eqpmt">#REF!</definedName>
    <definedName name="Factbuild">#REF!</definedName>
    <definedName name="FACTLC">#REF!</definedName>
    <definedName name="FACTOR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actory">#REF!</definedName>
    <definedName name="factoryeqip">#REF!</definedName>
    <definedName name="FAD" hidden="1">{"'OBT_6M_30_6'!$S$1:$AE$53"}</definedName>
    <definedName name="fadata">#REF!</definedName>
    <definedName name="fafd">#REF!</definedName>
    <definedName name="fafqafq" hidden="1">{"Annual",#N/A,FALSE,"Sales &amp; Market";"Quarterly",#N/A,FALSE,"Sales &amp; Market"}</definedName>
    <definedName name="fake">#REF!</definedName>
    <definedName name="FAR">#REF!</definedName>
    <definedName name="FAREG0405">#REF!</definedName>
    <definedName name="Faringosept">#REF!</definedName>
    <definedName name="Faringosept_Plus">#REF!</definedName>
    <definedName name="FASch">#REF!</definedName>
    <definedName name="fasdf">#N/A</definedName>
    <definedName name="fasdfsdfsegds" hidden="1">{#N/A,#N/A,FALSE,"PMTABB";#N/A,#N/A,FALSE,"PMTABB"}</definedName>
    <definedName name="fasjdf">#N/A</definedName>
    <definedName name="FAST">#REF!</definedName>
    <definedName name="FATIMA">#REF!</definedName>
    <definedName name="FATT">#REF!</definedName>
    <definedName name="Fax">#REF!</definedName>
    <definedName name="FAX_MACHINE">#REF!</definedName>
    <definedName name="FAXNO">#REF!</definedName>
    <definedName name="FBClass">#REF!</definedName>
    <definedName name="fbld_10percent">#REF!</definedName>
    <definedName name="fbld_5percent">#REF!</definedName>
    <definedName name="FBSA">#REF!</definedName>
    <definedName name="FBSL">#REF!</definedName>
    <definedName name="fbt">#REF!</definedName>
    <definedName name="FBT.Amt">#REF!</definedName>
    <definedName name="FBT.FormulaOfS">#REF!</definedName>
    <definedName name="FBValBIF1.ValueOfFBIf1OfSchFBIisNo">#REF!</definedName>
    <definedName name="FBValBIF2N.ValueOfFBIf2OfSchFBIisNo">#REF!</definedName>
    <definedName name="FBValBIF2Y.ValueOfFBIf2OfSchFBIisYes">#REF!</definedName>
    <definedName name="FC" hidden="1">{#N/A,#N/A,FALSE,"gc (2)"}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C5_total">#REF!</definedName>
    <definedName name="FC6_total">#REF!</definedName>
    <definedName name="FCASE">#REF!</definedName>
    <definedName name="FCBL">#REF!</definedName>
    <definedName name="fcd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l">#REF!</definedName>
    <definedName name="FCNOI">#REF!</definedName>
    <definedName name="FCode" hidden="1">#REF!</definedName>
    <definedName name="FCPL">#REF!</definedName>
    <definedName name="fcuk" hidden="1">{"by departments",#N/A,TRUE,"FORECAST";"cap_headcount",#N/A,TRUE,"FORECAST";"summary",#N/A,TRUE,"FORECAST"}</definedName>
    <definedName name="fd">#REF!</definedName>
    <definedName name="FDaFAF" hidden="1">{"'Mach'!$A$1:$D$39"}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">#REF!</definedName>
    <definedName name="fdfa">#REF!</definedName>
    <definedName name="FDFD" hidden="1">{#N/A,#N/A,FALSE,"Pharm";#N/A,#N/A,FALSE,"WWCM"}</definedName>
    <definedName name="fdfdddd" hidden="1">{"'OBT_6M_30_6'!$S$1:$AE$53"}</definedName>
    <definedName name="FDFDFFD" hidden="1">{"'OBT_6M_30_6'!$S$1:$AE$53"}</definedName>
    <definedName name="FDFFFF" hidden="1">{"'OBT_6M_30_6'!$S$1:$AE$53"}</definedName>
    <definedName name="FDFFFFDS" hidden="1">{"'OBT_6M_30_6'!$S$1:$AE$53"}</definedName>
    <definedName name="fdgdfg">#REF!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dg" hidden="1">{#N/A,#N/A,FALSE,"QC REVIEW"}</definedName>
    <definedName name="fdgfd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 hidden="1">{#N/A,#N/A,FALSE,"KA CH  (2)"}</definedName>
    <definedName name="fdgfdgsdgsdgs" hidden="1">{#N/A,#N/A,FALSE,"KA CH  (2)"}</definedName>
    <definedName name="fdgsd" hidden="1">{#N/A,#N/A,FALSE,"COMP"}</definedName>
    <definedName name="FDHJVGHCGVV" hidden="1">{"'BGT2001'!$A$1:$AE$112"}</definedName>
    <definedName name="fdljlsdj">#REF!</definedName>
    <definedName name="FDQ" hidden="1">{"detail",#N/A,FALSE,"mfg";"summary",#N/A,FALSE,"mfg"}</definedName>
    <definedName name="FDR">#REF!</definedName>
    <definedName name="FDRGraph_Show">#N/A</definedName>
    <definedName name="fds" hidden="1">{#N/A,#N/A,FALSE,"Pharm";#N/A,#N/A,FALSE,"WWCM"}</definedName>
    <definedName name="fdsa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kj" hidden="1">{#N/A,#N/A,FALSE,"Model";#N/A,#N/A,FALSE,"Division"}</definedName>
    <definedName name="fe" hidden="1">{#N/A,#N/A,FALSE,"PMTABB";#N/A,#N/A,FALSE,"PMTABB"}</definedName>
    <definedName name="fe_1" hidden="1">{#N/A,#N/A,FALSE,"PMTABB";#N/A,#N/A,FALSE,"PMTABB"}</definedName>
    <definedName name="fe_2" hidden="1">{#N/A,#N/A,FALSE,"PMTABB";#N/A,#N/A,FALSE,"PMTABB"}</definedName>
    <definedName name="fe_3" hidden="1">{#N/A,#N/A,FALSE,"PMTABB";#N/A,#N/A,FALSE,"PMTABB"}</definedName>
    <definedName name="fe_4" hidden="1">{#N/A,#N/A,FALSE,"PMTABB";#N/A,#N/A,FALSE,"PMTABB"}</definedName>
    <definedName name="feb_ps">#REF!</definedName>
    <definedName name="feb_rm">#REF!</definedName>
    <definedName name="FEB_VS_MAR">#REF!</definedName>
    <definedName name="FebEur">#REF!</definedName>
    <definedName name="FEBOB">#REF!</definedName>
    <definedName name="FEBPLAN">#REF!</definedName>
    <definedName name="FEBSBI">#REF!</definedName>
    <definedName name="FEBSBM">#REF!</definedName>
    <definedName name="FebUSD">#REF!</definedName>
    <definedName name="fec" hidden="1">#REF!</definedName>
    <definedName name="FEE">#REF!</definedName>
    <definedName name="Fee_2019">#REF!</definedName>
    <definedName name="fee_summary">#REF!</definedName>
    <definedName name="FEEP">#REF!</definedName>
    <definedName name="fees">#REF!</definedName>
    <definedName name="FEETERM">#REF!</definedName>
    <definedName name="FEETERM1">#REF!</definedName>
    <definedName name="FEF">#REF!</definedName>
    <definedName name="FER">#REF!</definedName>
    <definedName name="feret" hidden="1">{#N/A,#N/A,FALSE,"FREE"}</definedName>
    <definedName name="feret_1" hidden="1">{#N/A,#N/A,FALSE,"FREE"}</definedName>
    <definedName name="feret_2" hidden="1">{#N/A,#N/A,FALSE,"FREE"}</definedName>
    <definedName name="feret_3" hidden="1">{#N/A,#N/A,FALSE,"FREE"}</definedName>
    <definedName name="feret_4" hidden="1">{#N/A,#N/A,FALSE,"FREE"}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CF">#REF!</definedName>
    <definedName name="fetr" hidden="1">{"BA detail",#N/A,FALSE,"Q3YTD "}</definedName>
    <definedName name="feujj">#REF!</definedName>
    <definedName name="few" hidden="1">{#N/A,#N/A,FALSE,"PMTABB";#N/A,#N/A,FALSE,"PMTABB"}</definedName>
    <definedName name="few_1" hidden="1">{#N/A,#N/A,FALSE,"PMTABB";#N/A,#N/A,FALSE,"PMTABB"}</definedName>
    <definedName name="few_2" hidden="1">{#N/A,#N/A,FALSE,"PMTABB";#N/A,#N/A,FALSE,"PMTABB"}</definedName>
    <definedName name="few_3" hidden="1">{#N/A,#N/A,FALSE,"PMTABB";#N/A,#N/A,FALSE,"PMTABB"}</definedName>
    <definedName name="few_4" hidden="1">{#N/A,#N/A,FALSE,"PMTABB";#N/A,#N/A,FALSE,"PMTABB"}</definedName>
    <definedName name="fewf">#REF!</definedName>
    <definedName name="FEWKG_EP">#REF!</definedName>
    <definedName name="fewq" hidden="1">{"Comp_of_Price_Effect",#N/A,FALSE,"QTRDPVAR"}</definedName>
    <definedName name="fewt" hidden="1">{#N/A,#N/A,FALSE,"EW"}</definedName>
    <definedName name="fewt_1" hidden="1">{#N/A,#N/A,FALSE,"EW"}</definedName>
    <definedName name="fewt_2" hidden="1">{#N/A,#N/A,FALSE,"EW"}</definedName>
    <definedName name="fewt_3" hidden="1">{#N/A,#N/A,FALSE,"EW"}</definedName>
    <definedName name="fewt_4" hidden="1">{#N/A,#N/A,FALSE,"EW"}</definedName>
    <definedName name="FF">#REF!</definedName>
    <definedName name="FF_945_956">#REF!</definedName>
    <definedName name="FF_967">#REF!</definedName>
    <definedName name="FFAA">#REF!</definedName>
    <definedName name="FFAPPCOLNAME1_1">#REF!</definedName>
    <definedName name="FFAPPCOLNAME1_2">#REF!</definedName>
    <definedName name="FFAPPCOLNAME1_3">#REF!</definedName>
    <definedName name="FFAPPCOLNAME2_1">#REF!</definedName>
    <definedName name="FFAPPCOLNAME2_2">#REF!</definedName>
    <definedName name="FFAPPCOLNAME2_3">#REF!</definedName>
    <definedName name="FFAPPCOLNAME3_1">#REF!</definedName>
    <definedName name="FFAPPCOLNAME3_2">#REF!</definedName>
    <definedName name="FFAPPCOLNAME3_3">#REF!</definedName>
    <definedName name="FFAPPCOLNAME4_1">#REF!</definedName>
    <definedName name="FFAPPCOLNAME4_2">#REF!</definedName>
    <definedName name="FFAPPCOLNAME4_3">#REF!</definedName>
    <definedName name="FFAPPCOLNAME5_1">#REF!</definedName>
    <definedName name="FFAPPCOLNAME5_2">#REF!</definedName>
    <definedName name="FFAPPCOLNAME5_3">#REF!</definedName>
    <definedName name="FFAPPCOLNAME6_1">#REF!</definedName>
    <definedName name="FFAPPCOLNAME6_2">#REF!</definedName>
    <definedName name="FFAPPCOLNAME6_3">#REF!</definedName>
    <definedName name="FFAPPCOLNAME7_1">#REF!</definedName>
    <definedName name="FFAPPCOLNAME7_2">#REF!</definedName>
    <definedName name="FFAPPCOLNAME7_3">#REF!</definedName>
    <definedName name="FFAPPCOLNAME8_1">#REF!</definedName>
    <definedName name="FFAPPCOLNAME8_2">#REF!</definedName>
    <definedName name="FFAPPCOLNAME8_3">#REF!</definedName>
    <definedName name="FFAPPCOLNAME9_1">#REF!</definedName>
    <definedName name="FFAPPCOLNAME9_2">#REF!</definedName>
    <definedName name="FFAPPCOLNAME9_3">#REF!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F">#REF!</definedName>
    <definedName name="ffff">#REF!</definedName>
    <definedName name="fffffff" hidden="1">{#N/A,#N/A,FALSE,"Pharm";#N/A,#N/A,FALSE,"WWCM"}</definedName>
    <definedName name="fffffffff">#REF!</definedName>
    <definedName name="fffffffff_17">#REF!</definedName>
    <definedName name="fffffffff_4">#REF!</definedName>
    <definedName name="ffgff">#REF!</definedName>
    <definedName name="Ffin_Real">#REF!</definedName>
    <definedName name="FFL">#REF!</definedName>
    <definedName name="ffrfrferf" hidden="1">{#N/A,#N/A,FALSE,"Assumptions";#N/A,#N/A,FALSE,"Volumes";#N/A,#N/A,FALSE,"Pricing";#N/A,#N/A,FALSE,"Variable Cost";#N/A,#N/A,FALSE,"Investment";#N/A,#N/A,FALSE,"Profitability";#N/A,#N/A,FALSE,"Business Comparison"}</definedName>
    <definedName name="FFSEGMENT1_1">#REF!</definedName>
    <definedName name="FFSEGMENT1_2">#REF!</definedName>
    <definedName name="FFSEGMENT1_3">#REF!</definedName>
    <definedName name="FFSEGMENT2_1">#REF!</definedName>
    <definedName name="FFSEGMENT2_2">#REF!</definedName>
    <definedName name="FFSEGMENT2_3">#REF!</definedName>
    <definedName name="FFSEGMENT3_1">#REF!</definedName>
    <definedName name="FFSEGMENT3_2">#REF!</definedName>
    <definedName name="FFSEGMENT3_3">#REF!</definedName>
    <definedName name="FFSEGMENT4_1">#REF!</definedName>
    <definedName name="FFSEGMENT4_2">#REF!</definedName>
    <definedName name="FFSEGMENT4_3">#REF!</definedName>
    <definedName name="FFSEGMENT5_1">#REF!</definedName>
    <definedName name="FFSEGMENT5_2">#REF!</definedName>
    <definedName name="FFSEGMENT5_3">#REF!</definedName>
    <definedName name="FFSEGMENT6_1">#REF!</definedName>
    <definedName name="FFSEGMENT6_2">#REF!</definedName>
    <definedName name="FFSEGMENT6_3">#REF!</definedName>
    <definedName name="FFSEGMENT7_1">#REF!</definedName>
    <definedName name="FFSEGMENT7_2">#REF!</definedName>
    <definedName name="FFSEGMENT7_3">#REF!</definedName>
    <definedName name="FFSEGMENT8_1">#REF!</definedName>
    <definedName name="FFSEGMENT8_2">#REF!</definedName>
    <definedName name="FFSEGMENT8_3">#REF!</definedName>
    <definedName name="FFSEGMENT9_1">#REF!</definedName>
    <definedName name="FFSEGMENT9_2">#REF!</definedName>
    <definedName name="FFSEGMENT9_3">#REF!</definedName>
    <definedName name="FFSEGSEPARATOR1">#REF!</definedName>
    <definedName name="FFSEGSEPARATOR2">#REF!</definedName>
    <definedName name="FFSEGSEPARATOR3">#REF!</definedName>
    <definedName name="FFW">#REF!</definedName>
    <definedName name="ffy" hidden="1">{#N/A,#N/A,FALSE,"FY97";#N/A,#N/A,FALSE,"FY98";#N/A,#N/A,FALSE,"FY99";#N/A,#N/A,FALSE,"FY00";#N/A,#N/A,FALSE,"FY01"}</definedName>
    <definedName name="fg">#REF!</definedName>
    <definedName name="FG10TBTB2RT">#REF!</definedName>
    <definedName name="FG12TBTB2RTDKDKGMLRT">#REF!</definedName>
    <definedName name="FG24RTDKDK">#REF!</definedName>
    <definedName name="FG46TBTB4RTDKDK">#REF!</definedName>
    <definedName name="FGBHGVHJ">#REF!</definedName>
    <definedName name="fgcols">#REF!</definedName>
    <definedName name="fgd" hidden="1">{#N/A,#N/A,FALSE,"QC REVIEW"}</definedName>
    <definedName name="fgdfg" hidden="1">#REF!</definedName>
    <definedName name="fgeree">#REF!</definedName>
    <definedName name="FGF">2</definedName>
    <definedName name="FGFG" hidden="1">{#N/A,#N/A,FALSE,"Tabl. A1";#N/A,#N/A,FALSE,"Tabl. A1 b";#N/A,#N/A,FALSE,"Tabl. A2";#N/A,#N/A,FALSE,"Tabl. A2-1";#N/A,#N/A,FALSE,"Tabl. A2-2"}</definedName>
    <definedName name="fgfgf" hidden="1">{#N/A,#N/A,FALSE,"Umsatz 99";#N/A,#N/A,FALSE,"ER 99 "}</definedName>
    <definedName name="fgfgfgf" hidden="1">{"mgmt forecast",#N/A,FALSE,"Mgmt Forecast";"dcf table",#N/A,FALSE,"Mgmt Forecast";"sensitivity",#N/A,FALSE,"Mgmt Forecast";"table inputs",#N/A,FALSE,"Mgmt Forecast";"calculations",#N/A,FALSE,"Mgmt Forecast"}</definedName>
    <definedName name="fgfx" hidden="1">{#N/A,#N/A,FALSE,"Umsatz 99";#N/A,#N/A,FALSE,"ER 99 "}</definedName>
    <definedName name="fgg" hidden="1">{#N/A,#N/A,FALSE,"Aging Summary";#N/A,#N/A,FALSE,"Ratio Analysis";#N/A,#N/A,FALSE,"Test 120 Day Accts";#N/A,#N/A,FALSE,"Tickmarks"}</definedName>
    <definedName name="FGGG" hidden="1">{"'BGT2001'!$A$1:$AE$112"}</definedName>
    <definedName name="FGGHG" hidden="1">{"'OBT_6M_30_6'!$S$1:$AE$53"}</definedName>
    <definedName name="fgh" hidden="1">{"office ltcg",#N/A,FALSE,"gain01";"IT LTCG",#N/A,FALSE,"gain01"}</definedName>
    <definedName name="FGHFDH" hidden="1">{TRUE,TRUE,-1.25,-15.5,484.5,255,FALSE,FALSE,TRUE,FALSE,0,2,16,1,6,13,5,4,TRUE,TRUE,3,TRUE,1,TRUE,75,"Swvu.A.","ACwvu.A.",#N/A,FALSE,FALSE,0.2,0.22,1,0.641,2,"&amp;L&amp;""Arial,Bold""&amp;11Essar Projects LimitedEOL Refinery Project&amp;C&amp;""Arial,Bold""&amp;14TOTAL REFINERY PROJECTREFINERY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gh">#REF!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H" hidden="1">{#N/A,#N/A,FALSE,"PGW"}</definedName>
    <definedName name="FGHFH_1" hidden="1">{#N/A,#N/A,FALSE,"PGW"}</definedName>
    <definedName name="FGHFH_2" hidden="1">{#N/A,#N/A,FALSE,"PGW"}</definedName>
    <definedName name="FGHFH_3" hidden="1">{#N/A,#N/A,FALSE,"PGW"}</definedName>
    <definedName name="FGHFH_4" hidden="1">{#N/A,#N/A,FALSE,"PGW"}</definedName>
    <definedName name="fghfhf" hidden="1">{#N/A,#N/A,FALSE,"FFM"}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ivbjrtmgfp" hidden="1">{"'BGT2001'!$A$1:$AE$112"}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JHFCU">#REF!</definedName>
    <definedName name="fgk" hidden="1">{"'BGT2001'!$A$1:$AE$112"}</definedName>
    <definedName name="fgkjkh" hidden="1">{#N/A,#N/A,FALSE,"REPORT"}</definedName>
    <definedName name="FGPRRKRKTBTB2RTDKDK">#REF!</definedName>
    <definedName name="FGPRTBTB1RTDKDK">#REF!</definedName>
    <definedName name="FGR12C15TBTB1RTDKDK">#REF!</definedName>
    <definedName name="FGRKBS11TBTB3RTDKDK">#REF!</definedName>
    <definedName name="fgRKBS8TBTB3RT">#REF!</definedName>
    <definedName name="fgRKRKRKRKRKTBTB2RTDKDK">#REF!</definedName>
    <definedName name="FGRKRKRKTBTB1RTDKDK">#REF!</definedName>
    <definedName name="FGRKRKTBTB3RTDKDK">#REF!</definedName>
    <definedName name="fgs" hidden="1">{#N/A,#N/A,FALSE,"COMP"}</definedName>
    <definedName name="fgsd" hidden="1">{"PAGE 1",#N/A,FALSE,"COS Excluding Geismar";"PAGE 2",#N/A,FALSE,"COS Excluding Geismar";"PAGE 3",#N/A,FALSE,"COS Excluding Geismar"}</definedName>
    <definedName name="fgsg" hidden="1">{"consolidated",#N/A,FALSE,"Sheet1";"cms",#N/A,FALSE,"Sheet1";"fse",#N/A,FALSE,"Sheet1"}</definedName>
    <definedName name="FGSOUTMP">#N/A</definedName>
    <definedName name="FGSOUTPP">#N/A</definedName>
    <definedName name="fgt">#REF!</definedName>
    <definedName name="fgTBTB3RTDKDK">#REF!</definedName>
    <definedName name="fgTBTB4RTDKDK">#REF!</definedName>
    <definedName name="FGtbtbspspsprtdkdk">#REF!</definedName>
    <definedName name="fgvdata">#REF!</definedName>
    <definedName name="fh" hidden="1">{#N/A,#N/A,FALSE,"KA CH  (2)"}</definedName>
    <definedName name="fhfgh" hidden="1">{#N/A,#N/A,FALSE,"FFM"}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h" hidden="1">{#N/A,#N/A,FALSE,"Balance Sheets";#N/A,#N/A,FALSE,"96 Conservative";#N/A,#N/A,FALSE,"96 Possible"}</definedName>
    <definedName name="fhhf">#N/A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JFJF" hidden="1">{TRUE,TRUE,-1.25,-15.5,484.5,255,FALSE,FALSE,TRUE,FALSE,0,2,16,1,6,13,5,4,TRUE,TRUE,3,TRUE,1,TRUE,75,"Swvu.A.","ACwvu.A.",#N/A,FALSE,FALSE,0.2,0.22,1,0.641,2,"&amp;L&amp;""Arial,Bold""&amp;11Essar Projects LimitedEOL Refinery Project&amp;C&amp;""Arial,Bold""&amp;14TOTAL REFINERY PROJECTREFINERY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rtz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I">#REF!</definedName>
    <definedName name="FICHE">#REF!</definedName>
    <definedName name="FICHE_EVO">#REF!</definedName>
    <definedName name="FICHE_EVO__N">#REF!</definedName>
    <definedName name="FIELDNAMECOLUMN1">#REF!</definedName>
    <definedName name="FIELDNAMECOLUMN2">#REF!</definedName>
    <definedName name="FIELDNAMECOLUMN3">#REF!</definedName>
    <definedName name="FIELDNAMEROW1">#REF!</definedName>
    <definedName name="FIELDNAMEROW2">#REF!</definedName>
    <definedName name="FIELDNAMEROW3">#REF!</definedName>
    <definedName name="fieldtools">#REF!</definedName>
    <definedName name="FIJO">#REF!</definedName>
    <definedName name="FIJOACTUAL">#REF!</definedName>
    <definedName name="fil" hidden="1">#REF!</definedName>
    <definedName name="file">#REF!</definedName>
    <definedName name="File.Type" hidden="1">#REF!</definedName>
    <definedName name="File_Number">9</definedName>
    <definedName name="file10">#REF!</definedName>
    <definedName name="file2">#REF!</definedName>
    <definedName name="file3">#REF!</definedName>
    <definedName name="file4">#REF!</definedName>
    <definedName name="file5">#REF!</definedName>
    <definedName name="file6">#REF!</definedName>
    <definedName name="file7">#REF!</definedName>
    <definedName name="file8">#REF!</definedName>
    <definedName name="file9">#REF!</definedName>
    <definedName name="Filename_Division_1">#REF!</definedName>
    <definedName name="Filename_Division_2">#REF!</definedName>
    <definedName name="Filename_Division_3">#REF!</definedName>
    <definedName name="Filename_Division_4">#REF!</definedName>
    <definedName name="Filename_Division_5">#REF!</definedName>
    <definedName name="Filename_Division_6">#REF!</definedName>
    <definedName name="Filename_Division_7">#REF!</definedName>
    <definedName name="Filename_Division_8">#REF!</definedName>
    <definedName name="Filename_Division_9">#REF!</definedName>
    <definedName name="filepath">#REF!</definedName>
    <definedName name="Filll">#REF!</definedName>
    <definedName name="filna" hidden="1">{"'OBT_6M_30_6'!$S$1:$AE$53"}</definedName>
    <definedName name="Fin">#REF!</definedName>
    <definedName name="Fin_charges">#REF!</definedName>
    <definedName name="Fin_Ext">#REF!</definedName>
    <definedName name="FIN_FLOW1">#REF!</definedName>
    <definedName name="Fin_Int">#REF!</definedName>
    <definedName name="Fin_Value_Drivers_Pay">#REF!</definedName>
    <definedName name="fina">#REF!</definedName>
    <definedName name="final">#REF!</definedName>
    <definedName name="final_milestone_payment">#REF!</definedName>
    <definedName name="final1">#REF!</definedName>
    <definedName name="final2">#REF!</definedName>
    <definedName name="Finance_Type">#REF!</definedName>
    <definedName name="Finance2">#REF!</definedName>
    <definedName name="FINANCIAL">#REF!</definedName>
    <definedName name="FINANCIALS">#REF!</definedName>
    <definedName name="Fine">#N/A</definedName>
    <definedName name="Finishing">#REF!</definedName>
    <definedName name="Finland">#REF!</definedName>
    <definedName name="FINRESULT">#REF!</definedName>
    <definedName name="FINSUM">#REF!</definedName>
    <definedName name="FIRE">#N/A</definedName>
    <definedName name="first">#REF!</definedName>
    <definedName name="First_Consolidation">1</definedName>
    <definedName name="first_cut_aging">#REF!</definedName>
    <definedName name="First_File">1</definedName>
    <definedName name="Firstaid">#REF!</definedName>
    <definedName name="firstcolor">#REF!</definedName>
    <definedName name="FIRSTDATAROW1">#REF!</definedName>
    <definedName name="FIRSTDATAROW2">#REF!</definedName>
    <definedName name="FIRSTDATAROW3">#REF!</definedName>
    <definedName name="firstFW">#REF!</definedName>
    <definedName name="firstmnthqtr">#REF!</definedName>
    <definedName name="FirstVariant">#REF!</definedName>
    <definedName name="fiscal_year">#REF!</definedName>
    <definedName name="FiscalYear">#REF!</definedName>
    <definedName name="FiveMonthsBefore">#REF!</definedName>
    <definedName name="fix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FIX_ASSET_CUM">#REF!</definedName>
    <definedName name="FIX_ASSET_FINAL">#REF!</definedName>
    <definedName name="Fixed">#REF!</definedName>
    <definedName name="fixed_asset">#REF!</definedName>
    <definedName name="Fixed_assets">#REF!</definedName>
    <definedName name="fixed_cost">#REF!</definedName>
    <definedName name="fixed_deposit">#REF!</definedName>
    <definedName name="fixed_fees">#REF!</definedName>
    <definedName name="fixedass">#REF!</definedName>
    <definedName name="FixedAssets">#REF!</definedName>
    <definedName name="fixedassetss">#REF!</definedName>
    <definedName name="FixedCosts">#REF!</definedName>
    <definedName name="FJEZK" hidden="1">{#N/A,#N/A,FALSE,"Pharm";#N/A,#N/A,FALSE,"WWCM"}</definedName>
    <definedName name="FJHV">#REF!</definedName>
    <definedName name="FJK" hidden="1">{#N/A,#N/A,FALSE,"FINAL"}</definedName>
    <definedName name="FJKFVHJI">#REF!</definedName>
    <definedName name="fjkjafkljas">#REF!</definedName>
    <definedName name="FLAG3">#REF!</definedName>
    <definedName name="FLAG3a">#REF!</definedName>
    <definedName name="FLAG4">#REF!</definedName>
    <definedName name="FLAG4a">#REF!</definedName>
    <definedName name="FLAG5">#REF!</definedName>
    <definedName name="FLAG5a">#REF!</definedName>
    <definedName name="FLAG6">#REF!</definedName>
    <definedName name="FLAG6a">#REF!</definedName>
    <definedName name="FLAG7">#REF!</definedName>
    <definedName name="FLAG7a">#REF!</definedName>
    <definedName name="FLASH_MTH">#REF!</definedName>
    <definedName name="FLASH_VS_ACTUAL">#REF!</definedName>
    <definedName name="FLASH_YTD">#REF!</definedName>
    <definedName name="FLOW0">#REF!</definedName>
    <definedName name="FLSH">#REF!</definedName>
    <definedName name="Fluctuation">#REF!</definedName>
    <definedName name="FMGraph_Show">#N/A</definedName>
    <definedName name="FncAccept">#REF!</definedName>
    <definedName name="FncAcceptComments">#REF!</definedName>
    <definedName name="FncApprovalDate">#REF!</definedName>
    <definedName name="FncApprover">#REF!</definedName>
    <definedName name="FncApproverCode">#REF!</definedName>
    <definedName name="FncComments">#REF!</definedName>
    <definedName name="FncRecAmount">#REF!</definedName>
    <definedName name="FncRecDays">#REF!</definedName>
    <definedName name="FncRecPaySched">#REF!</definedName>
    <definedName name="FncRecPercent">#REF!</definedName>
    <definedName name="FncRecRAmount">#REF!</definedName>
    <definedName name="FncRecTotalReserve">#REF!</definedName>
    <definedName name="FncRecTotalSP">#REF!</definedName>
    <definedName name="FncSRResponse">#REF!</definedName>
    <definedName name="FncStatus">#REF!</definedName>
    <definedName name="FncSubAmount">#REF!</definedName>
    <definedName name="FncSubDays">#REF!</definedName>
    <definedName name="FncSubPaySched">#REF!</definedName>
    <definedName name="FncSubPercent">#REF!</definedName>
    <definedName name="FncSubRAmount">#REF!</definedName>
    <definedName name="FncSubTotalReserve">#REF!</definedName>
    <definedName name="FncSubTotalSP">#REF!</definedName>
    <definedName name="FncTotalReserve">#REF!</definedName>
    <definedName name="FNDNAM1">#REF!</definedName>
    <definedName name="FNDNAM2">#REF!</definedName>
    <definedName name="FNDNAM3">#REF!</definedName>
    <definedName name="FNDUSERID1">#REF!</definedName>
    <definedName name="FNDUSERID2">#REF!</definedName>
    <definedName name="FNDUSERID3">#REF!</definedName>
    <definedName name="FO">#REF!</definedName>
    <definedName name="FO????">#REF!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_c">#REF!</definedName>
    <definedName name="fo_p">#REF!</definedName>
    <definedName name="FOB">#N/A</definedName>
    <definedName name="foex">#REF!</definedName>
    <definedName name="FolderItemNumber">#REF!</definedName>
    <definedName name="FolderItemTitle">#REF!</definedName>
    <definedName name="fonance">#REF!</definedName>
    <definedName name="FONCTION">#REF!</definedName>
    <definedName name="fone">#REF!</definedName>
    <definedName name="FOOTNOTE">"Picture 1"</definedName>
    <definedName name="for">#REF!</definedName>
    <definedName name="FORE">#N/A</definedName>
    <definedName name="Forecast">#REF!</definedName>
    <definedName name="forecastCumu">#REF!</definedName>
    <definedName name="ForecastMTD">#REF!</definedName>
    <definedName name="FOREEXRS">#N/A</definedName>
    <definedName name="FOREEXUS">#N/A</definedName>
    <definedName name="foreign">#REF!</definedName>
    <definedName name="foreign_exch">#REF!</definedName>
    <definedName name="foreignex">#REF!</definedName>
    <definedName name="foreignexo">#REF!</definedName>
    <definedName name="FOREIGNPAY">#REF!</definedName>
    <definedName name="forex">#REF!</definedName>
    <definedName name="fORM" hidden="1">{#N/A,#N/A,FALSE,"COMP"}</definedName>
    <definedName name="Form_10ccac">#REF!</definedName>
    <definedName name="Form_10ccac1">#REF!</definedName>
    <definedName name="FORM_26_J">#REF!</definedName>
    <definedName name="form_3cd1">#REF!</definedName>
    <definedName name="form_3cd2">#REF!</definedName>
    <definedName name="form_3cd3">#REF!</definedName>
    <definedName name="form_3cd4">#REF!</definedName>
    <definedName name="form_3cd5">#REF!</definedName>
    <definedName name="Format">#REF!</definedName>
    <definedName name="Format_1">#REF!</definedName>
    <definedName name="FORMAT_24">#REF!</definedName>
    <definedName name="Format_4">#REF!</definedName>
    <definedName name="FORMAT1">#REF!</definedName>
    <definedName name="FORMAT2">#REF!</definedName>
    <definedName name="Formats">#REF!</definedName>
    <definedName name="FORMULA45">#N/A</definedName>
    <definedName name="FORMULA60">#N/A</definedName>
    <definedName name="Formulas">#REF!</definedName>
    <definedName name="FORRAJ90">#REF!</definedName>
    <definedName name="FORRAJERAS">#REF!</definedName>
    <definedName name="Fortythree">#REF!</definedName>
    <definedName name="Fortytwo">#REF!</definedName>
    <definedName name="Fosinopril">#REF!</definedName>
    <definedName name="FourMonthsBefore">#REF!</definedName>
    <definedName name="FOX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xdata">#REF!</definedName>
    <definedName name="FO집행예산">#REF!</definedName>
    <definedName name="FPL">#REF!</definedName>
    <definedName name="FPLACE">#REF!</definedName>
    <definedName name="FPORT">#REF!</definedName>
    <definedName name="FQNSIMSCENARIOS">"Alone,Competitor,"</definedName>
    <definedName name="fr">#N/A</definedName>
    <definedName name="Fraction_Disbn_sys_ASI">#REF!</definedName>
    <definedName name="Fraction_Disbn_sys_PRO_AC3">#REF!</definedName>
    <definedName name="Fraction_Disbn_sys_PRO_AUD">#REF!</definedName>
    <definedName name="Fraction_Disbn_sys_PRO_DVA">#REF!</definedName>
    <definedName name="Fraction_Disbn_sys_PRO_IRD">#REF!</definedName>
    <definedName name="Fraction_Disbn_sys_PRO_RAM1">#REF!</definedName>
    <definedName name="Fraction_Disbn_sys_PRO_RAM2">#REF!</definedName>
    <definedName name="Fraction_Disbn_sys_PRO_TSO">#REF!</definedName>
    <definedName name="Fraction_Disbn_sys_PRO_TSO3">#REF!</definedName>
    <definedName name="Fraction_Disbn_sys_PRO_TSOII">#REF!</definedName>
    <definedName name="Fraction_Disbn_sys_PRO_TXT">#REF!</definedName>
    <definedName name="Fraction_Disbn_sys_PRO_TXT_UK">#REF!</definedName>
    <definedName name="Fraction_Disbn_sys_PRO_VBI">#REF!</definedName>
    <definedName name="Frai_Fin">#REF!</definedName>
    <definedName name="FRAN">#REF!</definedName>
    <definedName name="FRANCE">#REF!</definedName>
    <definedName name="fre">#REF!</definedName>
    <definedName name="FREECASHFLOWS">#REF!</definedName>
    <definedName name="FreeGood_01">#REF!</definedName>
    <definedName name="freight">#REF!</definedName>
    <definedName name="FREIGHT_TRNASFERED_FROM_D101">#REF!</definedName>
    <definedName name="FREQS">#REF!</definedName>
    <definedName name="Frequency">#REF!</definedName>
    <definedName name="FRF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rftable">#REF!</definedName>
    <definedName name="Fringe_Benefits">#REF!</definedName>
    <definedName name="frmt">#REF!</definedName>
    <definedName name="FrontLine_Detail">#REF!</definedName>
    <definedName name="frqer" hidden="1">{#N/A,#N/A,FALSE,"OSBL"}</definedName>
    <definedName name="frst">#REF!</definedName>
    <definedName name="FRT">#REF!</definedName>
    <definedName name="FRTDRFC3">#REF!</definedName>
    <definedName name="FRTDRFC4">#REF!</definedName>
    <definedName name="frty" hidden="1">{"PRS",#N/A,FALSE,"CM"}</definedName>
    <definedName name="fs" hidden="1">{#N/A,#N/A,FALSE,"QC REVIEW"}</definedName>
    <definedName name="fs2p">#N/A</definedName>
    <definedName name="fsaf" hidden="1">{#N/A,#N/A,FALSE,"Sales"}</definedName>
    <definedName name="fsd" hidden="1">{#N/A,#N/A,TRUE,"Argentina";#N/A,#N/A,TRUE,"Brazil";#N/A,#N/A,TRUE,"Venezuela";#N/A,#N/A,TRUE,"Chile";#N/A,#N/A,TRUE,"Other LA";#N/A,#N/A,TRUE,"Puerto Rico"}</definedName>
    <definedName name="fsdf" hidden="1">#REF!</definedName>
    <definedName name="fsdfasd">#REF!</definedName>
    <definedName name="FSDFDS" hidden="1">{#N/A,#N/A,FALSE,"PMTABB";#N/A,#N/A,FALSE,"PMTABB"}</definedName>
    <definedName name="fsdfsd">#REF!</definedName>
    <definedName name="fsdgsdfg" hidden="1">{#N/A,#N/A,TRUE,"Argentina";#N/A,#N/A,TRUE,"Brazil";#N/A,#N/A,TRUE,"Venezuela";#N/A,#N/A,TRUE,"Chile";#N/A,#N/A,TRUE,"Other LA";#N/A,#N/A,TRUE,"Puerto Rico"}</definedName>
    <definedName name="fsfs" hidden="1">{#N/A,#N/A,FALSE,"Calc";#N/A,#N/A,FALSE,"Sensitivity";#N/A,#N/A,FALSE,"LT Earn.Dil.";#N/A,#N/A,FALSE,"Dil. AVP"}</definedName>
    <definedName name="fsggdfg" hidden="1">{#N/A,#N/A,TRUE,"SCR-LA 2000";#N/A,#N/A,TRUE,"SCR-LA 2001";#N/A,#N/A,TRUE,"SCR-LA 2002";#N/A,#N/A,TRUE,"SCR-LA 2003"}</definedName>
    <definedName name="FSI">Scheduled_Payment+Extra_Payment</definedName>
    <definedName name="fslog">77.2+20*LOG(freq)</definedName>
    <definedName name="FSSPL">#REF!</definedName>
    <definedName name="FST">#REF!</definedName>
    <definedName name="FST_16">#REF!</definedName>
    <definedName name="FST_17">#REF!</definedName>
    <definedName name="FST_4">#REF!</definedName>
    <definedName name="ft">#REF!</definedName>
    <definedName name="ftwo">#REF!</definedName>
    <definedName name="FTY">#REF!</definedName>
    <definedName name="FTZA10.DedFromUndertaking">#REF!</definedName>
    <definedName name="FTZA10.TotalDedUs10Sub">#REF!</definedName>
    <definedName name="fuck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el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Fuel1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Full_Print">#REF!</definedName>
    <definedName name="FUNCTIONALCURRENCY1">#REF!</definedName>
    <definedName name="FUNCTIONALCURRENCY2">#REF!</definedName>
    <definedName name="FUNCTIONALCURRENCY3">#REF!</definedName>
    <definedName name="Fund_Summary">#REF!</definedName>
    <definedName name="Fund_Tfr_Recon">#REF!</definedName>
    <definedName name="FUNDFLOW">#REF!</definedName>
    <definedName name="funding">#REF!</definedName>
    <definedName name="Funding_Calc">#REF!</definedName>
    <definedName name="Funding_Paste">#REF!</definedName>
    <definedName name="FUNDS">#REF!</definedName>
    <definedName name="Funds_new">#REF!</definedName>
    <definedName name="fundtrfd">#REF!</definedName>
    <definedName name="fur" hidden="1">{"'BGT2001'!$A$1:$AE$112"}</definedName>
    <definedName name="fur_fix">#REF!</definedName>
    <definedName name="furniture">#REF!</definedName>
    <definedName name="Furniture___Fixture">#REF!</definedName>
    <definedName name="Furnitures">#REF!</definedName>
    <definedName name="FVG" hidden="1">{#N/A,#N/A,FALSE,"Pharm";#N/A,#N/A,FALSE,"WWCM"}</definedName>
    <definedName name="FW">#REF!</definedName>
    <definedName name="FW2RTRK">#REF!</definedName>
    <definedName name="fwef" hidden="1">{#N/A,#N/A,FALSE,"OSBL"}</definedName>
    <definedName name="fwef_1" hidden="1">{#N/A,#N/A,FALSE,"OSBL"}</definedName>
    <definedName name="fwef_2" hidden="1">{#N/A,#N/A,FALSE,"OSBL"}</definedName>
    <definedName name="fwef_3" hidden="1">{#N/A,#N/A,FALSE,"OSBL"}</definedName>
    <definedName name="fwef_4" hidden="1">{#N/A,#N/A,FALSE,"OSBL"}</definedName>
    <definedName name="fwer" hidden="1">{#N/A,"PURCHM",FALSE,"Business Analysis";#N/A,"SPADD",FALSE,"Business Analysis"}</definedName>
    <definedName name="fwfwfw" hidden="1">{#N/A,#N/A,FALSE,"FINAL"}</definedName>
    <definedName name="FX">#REF!</definedName>
    <definedName name="FX_Calc">#REF!</definedName>
    <definedName name="FX_Paste">#REF!</definedName>
    <definedName name="FXEffect">#REF!</definedName>
    <definedName name="fy_sheetname">#REF!</definedName>
    <definedName name="FY2000Sales">#REF!</definedName>
    <definedName name="FY98FILE">#REF!</definedName>
    <definedName name="FYAOP">#REF!</definedName>
    <definedName name="fyCoverDate">#REF!</definedName>
    <definedName name="fyCoverdatea">#REF!</definedName>
    <definedName name="fyCoverDraft">#REF!</definedName>
    <definedName name="fycurrentunit">#REF!</definedName>
    <definedName name="fycurrenyunit">#REF!</definedName>
    <definedName name="fyCuurenyUnit">#REF!</definedName>
    <definedName name="FYE">#REF!</definedName>
    <definedName name="FYEnd">#REF!</definedName>
    <definedName name="fyProjectName">#REF!</definedName>
    <definedName name="fysection">#REF!</definedName>
    <definedName name="fySource">#REF!</definedName>
    <definedName name="fzefze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">#REF!</definedName>
    <definedName name="G.80">#REF!</definedName>
    <definedName name="g\">#REF!</definedName>
    <definedName name="g_1">#REF!</definedName>
    <definedName name="g_2">#REF!</definedName>
    <definedName name="g_3">#REF!</definedName>
    <definedName name="g_4">{#N/A,#N/A,FALSE,"PMTABB";#N/A,#N/A,FALSE,"PMTABB"}</definedName>
    <definedName name="G_Month">#REF!</definedName>
    <definedName name="g_total">#REF!</definedName>
    <definedName name="G_ý_P_">#N/A</definedName>
    <definedName name="g40g40">#REF!</definedName>
    <definedName name="G735g864">#REF!</definedName>
    <definedName name="GA" hidden="1">{#N/A,#N/A,FALSE,"SUMARIO";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;#N/A,#N/A,FALSE,"D17";#N/A,#N/A,FALSE,"D18";#N/A,#N/A,FALSE,"D19";#N/A,#N/A,FALSE,"D20";#N/A,#N/A,FALSE,"D21";#N/A,#N/A,FALSE,"D22";#N/A,#N/A,FALSE,"DLLS"}</definedName>
    <definedName name="ganesan" hidden="1">{"'W.W. Summary'!$A$1:$K$37"}</definedName>
    <definedName name="gas">#REF!</definedName>
    <definedName name="Gasket_Fresh_Air_Inlet">#REF!</definedName>
    <definedName name="Gasket_Heater_Air_Inlet_Duct_Flng">#REF!</definedName>
    <definedName name="Gasket_Htr_Defr_Outlet_Mtng_Flange">#REF!</definedName>
    <definedName name="GAV">#REF!</definedName>
    <definedName name="gbhg" hidden="1">{#N/A,#N/A,FALSE,"FFM"}</definedName>
    <definedName name="GBPcashrecd">#REF!</definedName>
    <definedName name="GBPdivrecbl">#REF!</definedName>
    <definedName name="GBPexp">#REF!</definedName>
    <definedName name="GBPexppaid">#REF!</definedName>
    <definedName name="GBPincome">#REF!</definedName>
    <definedName name="GBPpayable">#REF!</definedName>
    <definedName name="GBPpyble">#REF!</definedName>
    <definedName name="GBPrecble">#REF!</definedName>
    <definedName name="GCA">#REF!</definedName>
    <definedName name="gchi">#REF!</definedName>
    <definedName name="gd">#REF!</definedName>
    <definedName name="gDataRange">#REF!</definedName>
    <definedName name="GDF" hidden="1">{#N/A,#N/A,FALSE,"COMP"}</definedName>
    <definedName name="GDF_1">#N/A</definedName>
    <definedName name="GDF_2">#N/A</definedName>
    <definedName name="GDF_3">#N/A</definedName>
    <definedName name="GDF_4">#N/A</definedName>
    <definedName name="GDF_5">#N/A</definedName>
    <definedName name="GDFA" hidden="1">{#N/A,#N/A,FALSE,"COMP"}</definedName>
    <definedName name="gdfdfgfdg">#REF!</definedName>
    <definedName name="gdfg" hidden="1">{#N/A,#N/A,FALSE,"QC REVIEW"}</definedName>
    <definedName name="gdfgdf" hidden="1">{#N/A,#N/A,FALSE,"Pharm";#N/A,#N/A,FALSE,"WWCM"}</definedName>
    <definedName name="gdfgdg" hidden="1">{#N/A,#N/A,FALSE,"QC REVIEW"}</definedName>
    <definedName name="gdgd" hidden="1">{#N/A,#N/A,FALSE,"Calc";#N/A,#N/A,FALSE,"Sensitivity";#N/A,#N/A,FALSE,"LT Earn.Dil.";#N/A,#N/A,FALSE,"Dil. AVP"}</definedName>
    <definedName name="gdgdfg" hidden="1">{#N/A,#N/A,FALSE,"QC REVIEW"}</definedName>
    <definedName name="GDP">#REF!</definedName>
    <definedName name="gdsfgsd" hidden="1">{#N/A,#N/A,TRUE,"SCR-LA 2001";#N/A,#N/A,TRUE,"2001 TOTAL";#N/A,#N/A,TRUE,"2001 Puerto Rico";#N/A,#N/A,TRUE,"2001 Argentina";#N/A,#N/A,TRUE,"2001 Brazil";#N/A,#N/A,TRUE,"2001 Venezuela";#N/A,#N/A,TRUE,"2001 Chile";#N/A,#N/A,TRUE,"2001 Other Latin America"}</definedName>
    <definedName name="GdsShipConn">#REF!</definedName>
    <definedName name="GdsShiTrusteel">#REF!</definedName>
    <definedName name="GDTERM">#REF!</definedName>
    <definedName name="GDTERM1">#REF!</definedName>
    <definedName name="ge" hidden="1">{#N/A,#N/A,FALSE,"EW"}</definedName>
    <definedName name="ge_1" hidden="1">{#N/A,#N/A,FALSE,"EW"}</definedName>
    <definedName name="ge_2" hidden="1">{#N/A,#N/A,FALSE,"EW"}</definedName>
    <definedName name="ge_3" hidden="1">{#N/A,#N/A,FALSE,"EW"}</definedName>
    <definedName name="ge_4" hidden="1">{#N/A,#N/A,FALSE,"EW"}</definedName>
    <definedName name="GE_Item">#REF!</definedName>
    <definedName name="geds" hidden="1">#REF!</definedName>
    <definedName name="geeta">#REF!</definedName>
    <definedName name="GELALL">#N/A</definedName>
    <definedName name="GELALL??2">#N/A</definedName>
    <definedName name="GELALL전장2">#N/A</definedName>
    <definedName name="GEMSA_DR4">#REF!</definedName>
    <definedName name="GEMSAContExempt">#REF!</definedName>
    <definedName name="GEMSAContNonExempt">#REF!</definedName>
    <definedName name="GEMSARegExempt">#REF!</definedName>
    <definedName name="GEMSARegNonExempt">#REF!</definedName>
    <definedName name="gemsit_ops">#REF!</definedName>
    <definedName name="gemsit_prior">#REF!</definedName>
    <definedName name="gemsit_psi">#REF!</definedName>
    <definedName name="GEN">#REF!</definedName>
    <definedName name="Gender">#REF!</definedName>
    <definedName name="General__Admin__Premises_Bad_Debt">#REF!</definedName>
    <definedName name="General_Options">#REF!</definedName>
    <definedName name="GeneralExp">#REF!</definedName>
    <definedName name="genie">#REF!</definedName>
    <definedName name="GenitoTotal">#REF!</definedName>
    <definedName name="georges" hidden="1">{#N/A,#N/A,FALSE,"Tabl. FB300";#N/A,#N/A,FALSE,"Tabl. FB350";#N/A,#N/A,FALSE,"Tabl. FB400";#N/A,#N/A,FALSE,"Tabl. FB500";#N/A,#N/A,FALSE,"Tabl. FS090"}</definedName>
    <definedName name="GER??">#N/A</definedName>
    <definedName name="GERM">#REF!</definedName>
    <definedName name="Germany">#REF!</definedName>
    <definedName name="germany_">#REF!</definedName>
    <definedName name="GER전장">#N/A</definedName>
    <definedName name="gf">#REF!</definedName>
    <definedName name="gfd" hidden="1">{#N/A,"PURCHM",FALSE,"Business Analysis";#N/A,"SPADD",FALSE,"Business Analysis"}</definedName>
    <definedName name="gfdffh">#REF!</definedName>
    <definedName name="gfdfsd" hidden="1">{#N/A,#N/A,FALSE,"QC REVIEW"}</definedName>
    <definedName name="GFDGFSDAG">#REF!</definedName>
    <definedName name="gfdjhjh" hidden="1">{#N/A,#N/A,FALSE,"Pharm";#N/A,#N/A,FALSE,"WWCM"}</definedName>
    <definedName name="gfds" hidden="1">{"oct_res_comm",#N/A,FALSE,"VarToBud"}</definedName>
    <definedName name="gfdsf">{"'Changes Log'!$A$1:$F$25"}</definedName>
    <definedName name="gfg">#REF!</definedName>
    <definedName name="gfgdfgd" hidden="1">{#N/A,#N/A,FALSE,"QC REVIEW"}</definedName>
    <definedName name="gfgffgf" hidden="1">{"mgmt forecast",#N/A,FALSE,"Mgmt Forecast";"dcf table",#N/A,FALSE,"Mgmt Forecast";"sensitivity",#N/A,FALSE,"Mgmt Forecast";"table inputs",#N/A,FALSE,"Mgmt Forecast";"calculations",#N/A,FALSE,"Mgmt Forecast"}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{#N/A,#N/A,FALSE,"PMTABB";#N/A,#N/A,FALSE,"PMTABB"}</definedName>
    <definedName name="gfh_2" hidden="1">{#N/A,#N/A,FALSE,"PMTABB";#N/A,#N/A,FALSE,"PMTABB"}</definedName>
    <definedName name="gfh_3" hidden="1">{#N/A,#N/A,FALSE,"PMTABB";#N/A,#N/A,FALSE,"PMTABB"}</definedName>
    <definedName name="gfh_4" hidden="1">{#N/A,#N/A,FALSE,"PMTABB";#N/A,#N/A,FALSE,"PMTABB"}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fhf" hidden="1">{#N/A,#N/A,FALSE,"QC REVIEW"}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pfgh">#N/A</definedName>
    <definedName name="GFNFGJH" hidden="1">{#N/A,#N/A,FALSE,"TOWNSHIP"}</definedName>
    <definedName name="GFNFGJH_1" hidden="1">{#N/A,#N/A,FALSE,"TOWNSHIP"}</definedName>
    <definedName name="GFNFGJH_2" hidden="1">{#N/A,#N/A,FALSE,"TOWNSHIP"}</definedName>
    <definedName name="GFNFGJH_3" hidden="1">{#N/A,#N/A,FALSE,"TOWNSHIP"}</definedName>
    <definedName name="GFNFGJH_4" hidden="1">{#N/A,#N/A,FALSE,"TOWNSHIP"}</definedName>
    <definedName name="gfrr" hidden="1">{#N/A,#N/A,FALSE,"Umsatz 99";#N/A,#N/A,FALSE,"ER 99 "}</definedName>
    <definedName name="gfrt">#REF!</definedName>
    <definedName name="gfsd" hidden="1">{"consolidated",#N/A,FALSE,"Sheet1";"cms",#N/A,FALSE,"Sheet1";"fse",#N/A,FALSE,"Sheet1"}</definedName>
    <definedName name="gfsdgsadf" hidden="1">{#N/A,#N/A,TRUE,"SCR-LA 2000";#N/A,#N/A,TRUE,"SCR-LA 2001";#N/A,#N/A,TRUE,"SCR-LA 2002";#N/A,#N/A,TRUE,"SCR-LA 2003"}</definedName>
    <definedName name="gg">#REF!</definedName>
    <definedName name="GGF" hidden="1">{#N/A,#N/A,FALSE,"SUMMARY";#N/A,#N/A,FALSE,"SUMMARY"}</definedName>
    <definedName name="ggg">#REF!</definedName>
    <definedName name="ggggg">#REF!</definedName>
    <definedName name="ggggggg">#REF!</definedName>
    <definedName name="ggggggggggggggggggggggggggggggggggggggggggggggggggggggggggggg">#REF!</definedName>
    <definedName name="GGH">14</definedName>
    <definedName name="GGN">#REF!</definedName>
    <definedName name="ggnemp">#REF!</definedName>
    <definedName name="GH">#REF!</definedName>
    <definedName name="Ghaziabad">#REF!</definedName>
    <definedName name="ghd" hidden="1">{#N/A,#N/A,TRUE,"SCR-LA 2000";#N/A,#N/A,TRUE,"SCR-LA 2001";#N/A,#N/A,TRUE,"SCR-LA 2002";#N/A,#N/A,TRUE,"SCR-LA 2003"}</definedName>
    <definedName name="ghds">#REF!</definedName>
    <definedName name="GHFFSF" hidden="1">{"'BGT2001'!$A$1:$AE$112"}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fghf" hidden="1">{#N/A,#N/A,FALSE,"FFM"}</definedName>
    <definedName name="ghg">#REF!</definedName>
    <definedName name="ghgfgf">#REF!</definedName>
    <definedName name="GHGH">#REF!</definedName>
    <definedName name="ghh" hidden="1">{#N/A,#N/A,FALSE,"KA CH  (2)"}</definedName>
    <definedName name="ghhj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hi" hidden="1">{#N/A,#N/A,FALSE,"Tabl. FB300";#N/A,#N/A,FALSE,"Tabl. FB350";#N/A,#N/A,FALSE,"Tabl. FB400";#N/A,#N/A,FALSE,"Tabl. FB500";#N/A,#N/A,FALSE,"Tabl. FS090"}</definedName>
    <definedName name="GHii">#REF!,#REF!</definedName>
    <definedName name="GHiii">#REF!,#REF!</definedName>
    <definedName name="ghip">#REF!</definedName>
    <definedName name="GHJ">#REF!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gjh" hidden="1">{#N/A,#N/A,FALSE,"Pharm";#N/A,#N/A,FALSE,"WWCM"}</definedName>
    <definedName name="ghjhg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KFGU">#REF!</definedName>
    <definedName name="GHJTI" hidden="1">{#N/A,#N/A,FALSE,"FREE"}</definedName>
    <definedName name="GHJTI_1" hidden="1">{#N/A,#N/A,FALSE,"FREE"}</definedName>
    <definedName name="GHJTI_2" hidden="1">{#N/A,#N/A,FALSE,"FREE"}</definedName>
    <definedName name="GHJTI_3" hidden="1">{#N/A,#N/A,FALSE,"FREE"}</definedName>
    <definedName name="GHJTI_4" hidden="1">{#N/A,#N/A,FALSE,"FREE"}</definedName>
    <definedName name="ghk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kjsk">#REF!</definedName>
    <definedName name="ghuifd" hidden="1">{#N/A,"PURCHM",FALSE,"Business Analysis";#N/A,"SPADD",FALSE,"Business Analysis"}</definedName>
    <definedName name="GHYUI">#REF!</definedName>
    <definedName name="GI_MetaTotal">#REF!</definedName>
    <definedName name="GI_OTC">#REF!</definedName>
    <definedName name="gia">#REF!</definedName>
    <definedName name="gia_tien">#REF!</definedName>
    <definedName name="gia_tien_BTN">#REF!</definedName>
    <definedName name="Gift">#REF!</definedName>
    <definedName name="gii" hidden="1">{"'OBT_6M_30_6'!$S$1:$AE$53"}</definedName>
    <definedName name="Ginko">#REF!</definedName>
    <definedName name="GIRATAR">#REF!</definedName>
    <definedName name="GIRC2" hidden="1">#REF!</definedName>
    <definedName name="GIT">#REF!</definedName>
    <definedName name="gjgj">#N/A</definedName>
    <definedName name="gjh" hidden="1">{#N/A,#N/A,FALSE,"Umsatz 99";#N/A,#N/A,FALSE,"ER 99 "}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jygj" hidden="1">{#N/A,#N/A,FALSE,"COMP"}</definedName>
    <definedName name="gk0901int" hidden="1">{#N/A,#N/A,FALSE,"PMTABB";#N/A,#N/A,FALSE,"PMTABB"}</definedName>
    <definedName name="gk0901int_1" hidden="1">{#N/A,#N/A,FALSE,"PMTABB";#N/A,#N/A,FALSE,"PMTABB"}</definedName>
    <definedName name="gk0901int_2" hidden="1">{#N/A,#N/A,FALSE,"PMTABB";#N/A,#N/A,FALSE,"PMTABB"}</definedName>
    <definedName name="gk0901int_3" hidden="1">{#N/A,#N/A,FALSE,"PMTABB";#N/A,#N/A,FALSE,"PMTABB"}</definedName>
    <definedName name="gk0901int_4" hidden="1">{#N/A,#N/A,FALSE,"PMTABB";#N/A,#N/A,FALSE,"PMTABB"}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L_Balance">#REF!</definedName>
    <definedName name="GL_Balances_2">#REF!</definedName>
    <definedName name="gl_d">#REF!</definedName>
    <definedName name="gl_p">#REF!</definedName>
    <definedName name="GLASS_WARE">#REF!</definedName>
    <definedName name="GLCD">OFFSET(#REF!,0,0,COUNTA(#REF!),1)</definedName>
    <definedName name="gld">#REF!</definedName>
    <definedName name="gllgl" hidden="1">{#N/A,#N/A,FALSE,"Assumptions";#N/A,#N/A,FALSE,"Volumes";#N/A,#N/A,FALSE,"Pricing";#N/A,#N/A,FALSE,"Variable Cost";#N/A,#N/A,FALSE,"Investment";#N/A,#N/A,FALSE,"Profitability";#N/A,#N/A,FALSE,"Business Comparison"}</definedName>
    <definedName name="gllgl2" hidden="1">{#N/A,#N/A,FALSE,"Assumptions";#N/A,#N/A,FALSE,"Volumes";#N/A,#N/A,FALSE,"Pricing";#N/A,#N/A,FALSE,"Variable Cost";#N/A,#N/A,FALSE,"Investment";#N/A,#N/A,FALSE,"Profitability";#N/A,#N/A,FALSE,"Business Comparison"}</definedName>
    <definedName name="Global_Sales_Month">#REF!</definedName>
    <definedName name="Global1" hidden="1">{#N/A,#N/A,FALSE,"Pharm";#N/A,#N/A,FALSE,"WWCM"}</definedName>
    <definedName name="glòlòg" hidden="1">{#N/A,#N/A,FALSE,"Assumptions";#N/A,#N/A,FALSE,"Volumes";#N/A,#N/A,FALSE,"Pricing";#N/A,#N/A,FALSE,"Variable Cost";#N/A,#N/A,FALSE,"Investment";#N/A,#N/A,FALSE,"Profitability";#N/A,#N/A,FALSE,"Business Comparison"}</definedName>
    <definedName name="glòlòg_2" hidden="1">{#N/A,#N/A,FALSE,"Assumptions";#N/A,#N/A,FALSE,"Volumes";#N/A,#N/A,FALSE,"Pricing";#N/A,#N/A,FALSE,"Variable Cost";#N/A,#N/A,FALSE,"Investment";#N/A,#N/A,FALSE,"Profitability";#N/A,#N/A,FALSE,"Business Comparison"}</definedName>
    <definedName name="GLS">#REF!</definedName>
    <definedName name="GM">#REF!</definedName>
    <definedName name="GMTable">#REF!</definedName>
    <definedName name="GNGJ">#REF!</definedName>
    <definedName name="go_bal_det">#REF!</definedName>
    <definedName name="go_Can">#REF!</definedName>
    <definedName name="go_change_ship">#REF!</definedName>
    <definedName name="go_chi">#REF!</definedName>
    <definedName name="go_connect">#REF!</definedName>
    <definedName name="go_Eme">#REF!</definedName>
    <definedName name="go_eme2">#REF!</definedName>
    <definedName name="go_glob_sales">#REF!</definedName>
    <definedName name="go_global_sales">#REF!</definedName>
    <definedName name="go_io_plan">#REF!</definedName>
    <definedName name="go_Jap">#REF!</definedName>
    <definedName name="go_Lat">#REF!</definedName>
    <definedName name="go_Res">#REF!</definedName>
    <definedName name="go_ROA">#REF!</definedName>
    <definedName name="go_sales_change">#REF!</definedName>
    <definedName name="go_salesreg">#REF!</definedName>
    <definedName name="go_ship_plan">#REF!</definedName>
    <definedName name="go_USA">#REF!</definedName>
    <definedName name="go_wes">#REF!</definedName>
    <definedName name="Goa">#REF!</definedName>
    <definedName name="GOALS_VS_EA9798">#REF!</definedName>
    <definedName name="GOALS9798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Da">#REF!</definedName>
    <definedName name="GODREJ">#REF!</definedName>
    <definedName name="gods" hidden="1">{"consolidated",#N/A,FALSE,"Sheet1";"cms",#N/A,FALSE,"Sheet1";"fse",#N/A,FALSE,"Sheet1"}</definedName>
    <definedName name="gohs\">Scheduled_Payment+Extra_Payment</definedName>
    <definedName name="GOILOAN">#N/A</definedName>
    <definedName name="golia">#REF!</definedName>
    <definedName name="good">#REF!</definedName>
    <definedName name="GoodsShippedConnectors">#REF!</definedName>
    <definedName name="Goodyear">#REF!</definedName>
    <definedName name="goodyear1">#REF!</definedName>
    <definedName name="gopi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 hidden="1">{#N/A,#N/A,FALSE,"PMTABB";#N/A,#N/A,FALSE,"PMTABB"}</definedName>
    <definedName name="gqarefg_1" hidden="1">{#N/A,#N/A,FALSE,"PMTABB";#N/A,#N/A,FALSE,"PMTABB"}</definedName>
    <definedName name="gqarefg_2" hidden="1">{#N/A,#N/A,FALSE,"PMTABB";#N/A,#N/A,FALSE,"PMTABB"}</definedName>
    <definedName name="gqarefg_3" hidden="1">{#N/A,#N/A,FALSE,"PMTABB";#N/A,#N/A,FALSE,"PMTABB"}</definedName>
    <definedName name="gqarefg_4" hidden="1">{#N/A,#N/A,FALSE,"PMTABB";#N/A,#N/A,FALSE,"PMTABB"}</definedName>
    <definedName name="gr" hidden="1">{#N/A,#N/A,FALSE,"COVER.XLS";#N/A,#N/A,FALSE,"RACT1.XLS";#N/A,#N/A,FALSE,"RACT2.XLS";#N/A,#N/A,FALSE,"ECCMP";#N/A,#N/A,FALSE,"WELDER.XLS"}</definedName>
    <definedName name="gr_1" hidden="1">{#N/A,#N/A,FALSE,"SUMMARY";#N/A,#N/A,FALSE,"SUMMARY"}</definedName>
    <definedName name="gr_2" hidden="1">{#N/A,#N/A,FALSE,"SUMMARY";#N/A,#N/A,FALSE,"SUMMARY"}</definedName>
    <definedName name="gr_3" hidden="1">{#N/A,#N/A,FALSE,"SUMMARY";#N/A,#N/A,FALSE,"SUMMARY"}</definedName>
    <definedName name="gr_4" hidden="1">{#N/A,#N/A,FALSE,"SUMMARY";#N/A,#N/A,FALSE,"SUMMARY"}</definedName>
    <definedName name="gra">1.1</definedName>
    <definedName name="Grafico" hidden="1">{"'BGT2001'!$A$1:$AE$112"}</definedName>
    <definedName name="graham" hidden="1">{"ICD Details",#N/A,FALSE,"Current Yr";"ICD Details",#N/A,FALSE,"Budget";"ICD Details",#N/A,FALSE,"Prior Year"}</definedName>
    <definedName name="GRAND">#REF!</definedName>
    <definedName name="Grand_Total">#REF!</definedName>
    <definedName name="Grant2">Grant1+#REF!+#REF!+#REF!+#REF!+#REF!+#REF!+#REF!+#REF!+#REF!+#REF!+#REF!+#REF!+#REF!+#REF!+#REF!+#REF!+#REF!+#REF!+#REF!+#REF!+#REF!+#REF!+#REF!+#REF!+#REF!+#REF!+#REF!</definedName>
    <definedName name="graph" hidden="1">#REF!</definedName>
    <definedName name="Graph_Dropdown_Range">IF(#REF!=1,#REF!,IF(#REF!=2,#REF!, IF(#REF!=3,#REF!,#REF!)))</definedName>
    <definedName name="graph_isdm_page1">#REF!</definedName>
    <definedName name="graph_isdm_page2">#REF!</definedName>
    <definedName name="Graph10">#REF!</definedName>
    <definedName name="Graph11">#REF!</definedName>
    <definedName name="Graph12">#REF!</definedName>
    <definedName name="Graph7">#REF!</definedName>
    <definedName name="Graph8">#REF!</definedName>
    <definedName name="Graph9">#REF!</definedName>
    <definedName name="GRAPHIC_EQUIPMENT">#REF!</definedName>
    <definedName name="GRAPHS">#REF!</definedName>
    <definedName name="GRAPHS1">#REF!</definedName>
    <definedName name="GRATUITY">#REF!</definedName>
    <definedName name="grb">1.12</definedName>
    <definedName name="grc">1.1</definedName>
    <definedName name="GrCode">#REF!</definedName>
    <definedName name="GRG" hidden="1">{"'Sch B'!$B$15:$L$17"}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oss">#REF!</definedName>
    <definedName name="GROSS_CHA">#REF!</definedName>
    <definedName name="GROSS_CUM">#REF!</definedName>
    <definedName name="GROSS_EP_M">#REF!</definedName>
    <definedName name="GROSS_F216">#REF!</definedName>
    <definedName name="GROSS_M">#REF!</definedName>
    <definedName name="Gross_Margin___Rs_M">#REF!</definedName>
    <definedName name="GROSS_MONTH">#REF!</definedName>
    <definedName name="GROSS_TCF_M">#REF!</definedName>
    <definedName name="GROSSM1">#REF!</definedName>
    <definedName name="GROSSM2">#REF!</definedName>
    <definedName name="GROSSM3">#REF!</definedName>
    <definedName name="GROSSM4">#REF!</definedName>
    <definedName name="GROSSREAL">#REF!</definedName>
    <definedName name="grosstaxincomemar98">#REF!</definedName>
    <definedName name="GROUP">#REF!</definedName>
    <definedName name="Group1">#REF!</definedName>
    <definedName name="Group2">#REF!</definedName>
    <definedName name="grouping">#REF!</definedName>
    <definedName name="grouping2">#REF!</definedName>
    <definedName name="groupings">#REF!</definedName>
    <definedName name="groupings1">#REF!</definedName>
    <definedName name="groups">#REF!</definedName>
    <definedName name="GroupsOfVariantsInput">#REF!</definedName>
    <definedName name="Growth">#REF!</definedName>
    <definedName name="Growth_in_major_Products___Increase_in_Volume___L_E_2005_Vs_Budget_2006__First_Cut">#REF!</definedName>
    <definedName name="Growth_Rate">#REF!</definedName>
    <definedName name="GRPL">#REF!</definedName>
    <definedName name="grptb">#REF!</definedName>
    <definedName name="grtg" hidden="1">{#N/A,#N/A,FALSE,"COMP"}</definedName>
    <definedName name="GRUPPI_LAST">#REF!</definedName>
    <definedName name="GRUPPO">#REF!</definedName>
    <definedName name="GRW">#REF!</definedName>
    <definedName name="GS">#REF!</definedName>
    <definedName name="gsdfgsd" hidden="1">{#N/A,#N/A,TRUE,"SCR-LA 2000";#N/A,#N/A,TRUE,"SCR-LA 2001";#N/A,#N/A,TRUE,"SCR-LA 2002";#N/A,#N/A,TRUE,"SCR-LA 2003"}</definedName>
    <definedName name="gsdfgsfd" hidden="1">{#N/A,#N/A,TRUE,"Argentina";#N/A,#N/A,TRUE,"Brazil";#N/A,#N/A,TRUE,"Venezuela";#N/A,#N/A,TRUE,"Chile";#N/A,#N/A,TRUE,"Other LA";#N/A,#N/A,TRUE,"Puerto Rico"}</definedName>
    <definedName name="gsertgae" hidden="1">{#N/A,#N/A,TRUE,"2001 TOTAL";#N/A,#N/A,TRUE,"2001 Argentina";#N/A,#N/A,TRUE,"2001 Brazil";#N/A,#N/A,TRUE,"2001 Venezuela";#N/A,#N/A,TRUE,"2001 Chile";#N/A,#N/A,TRUE,"2001 Other Latin America";#N/A,#N/A,TRUE,"2001 Puerto Rico"}</definedName>
    <definedName name="gsfd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t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BL">#REF!</definedName>
    <definedName name="gtc">#REF!</definedName>
    <definedName name="gtc_py.Data">#N/A</definedName>
    <definedName name="gtc_py.DataPT">#N/A</definedName>
    <definedName name="gtc_py.Debits">#N/A</definedName>
    <definedName name="gtc_py.Description">#N/A</definedName>
    <definedName name="gtc_py.Ending_Balance">#N/A</definedName>
    <definedName name="gtc_py.Header">OFFSET(#REF!,0,0,1,COUNTA(#REF!))</definedName>
    <definedName name="gti">#REF!</definedName>
    <definedName name="GTNOI">#REF!</definedName>
    <definedName name="GTPL">#REF!</definedName>
    <definedName name="GTXL">#REF!</definedName>
    <definedName name="gty" hidden="1">{"QTD_PACKAGE",#N/A,FALSE,"QTD"}</definedName>
    <definedName name="GTYUI">#REF!</definedName>
    <definedName name="Guangzhou">{"Client Name or Project Name"}</definedName>
    <definedName name="guest_2">#N/A</definedName>
    <definedName name="guest_3">#N/A</definedName>
    <definedName name="guest_4">#N/A</definedName>
    <definedName name="guido" hidden="1">{"'OBT_6M_30_6'!$S$1:$AE$53"}</definedName>
    <definedName name="GUILLAU" hidden="1">{#N/A,#N/A,FALSE,"Tabl. D1";#N/A,#N/A,FALSE,"Tabl. D1 b";#N/A,#N/A,FALSE,"Tabl. D2";#N/A,#N/A,FALSE,"Tabl. D2 b";#N/A,#N/A,FALSE,"Tabl. D3";#N/A,#N/A,FALSE,"Tabl. D4";#N/A,#N/A,FALSE,"Tabl. D5"}</definedName>
    <definedName name="gumsealquantity">#REF!</definedName>
    <definedName name="gupta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GURGAON">#REF!</definedName>
    <definedName name="GURU">#REF!</definedName>
    <definedName name="Guwahati">#REF!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wergwr" hidden="1">{#N/A,#N/A,FALSE,"ISBL"}</definedName>
    <definedName name="gwergwr_1" hidden="1">{#N/A,#N/A,FALSE,"ISBL"}</definedName>
    <definedName name="gwergwr_2" hidden="1">{#N/A,#N/A,FALSE,"ISBL"}</definedName>
    <definedName name="gwergwr_3" hidden="1">{#N/A,#N/A,FALSE,"ISBL"}</definedName>
    <definedName name="gwergwr_4" hidden="1">{#N/A,#N/A,FALSE,"ISBL"}</definedName>
    <definedName name="GWYUID1">#REF!</definedName>
    <definedName name="GWYUID2">#REF!</definedName>
    <definedName name="GWYUID3">#REF!</definedName>
    <definedName name="gxm">#REF!</definedName>
    <definedName name="gytuy">#REF!</definedName>
    <definedName name="gzdfgzd" hidden="1">{#N/A,#N/A,TRUE,"SCR-LA 2000";#N/A,#N/A,TRUE,"SCR-LA 2001";#N/A,#N/A,TRUE,"SCR-LA 2002";#N/A,#N/A,TRUE,"SCR-LA 2003"}</definedName>
    <definedName name="h">#REF!</definedName>
    <definedName name="h.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_1">#REF!</definedName>
    <definedName name="H11A01K">#REF!</definedName>
    <definedName name="H26B">#REF!</definedName>
    <definedName name="H2H" hidden="1">{#N/A,#N/A,FALSE,"Staffnos &amp; cost"}</definedName>
    <definedName name="ha">#REF!</definedName>
    <definedName name="hA_AntalNklKol">0</definedName>
    <definedName name="hA1_AntalNklKol">0</definedName>
    <definedName name="hA11_AntalNklKol">0</definedName>
    <definedName name="hA20G_AntalKolumner">16</definedName>
    <definedName name="hA20G_AntalNklKol">0</definedName>
    <definedName name="hA25G_AntalKolumner">7</definedName>
    <definedName name="hA25G_AntalNklKol">0</definedName>
    <definedName name="hA30A_AntalNklKol">0</definedName>
    <definedName name="hA30B_AntalNklKol">0</definedName>
    <definedName name="hA30G_AntalKolumner">18</definedName>
    <definedName name="hA30G_AntalNklKol">0</definedName>
    <definedName name="hA31A_AntalNklKol">0</definedName>
    <definedName name="hA31B_AntalNklKol">0</definedName>
    <definedName name="hA32A_AntalNklKol">0</definedName>
    <definedName name="hA33_AntalNklKol">0</definedName>
    <definedName name="hA37A_AntalNklKol">0</definedName>
    <definedName name="hA38_AntalNklKol">0</definedName>
    <definedName name="haha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mbuja_cy.Credits">#N/A</definedName>
    <definedName name="hambuja_cy.Data">#N/A</definedName>
    <definedName name="hambuja_cy.DataPT">#N/A</definedName>
    <definedName name="hambuja_cy.Debits">#N/A</definedName>
    <definedName name="hambuja_cy.Description">#N/A</definedName>
    <definedName name="hambuja_cy.Ending_Balance">#N/A</definedName>
    <definedName name="hambuja_py.Credits">#N/A</definedName>
    <definedName name="hambuja_py.Data">#N/A</definedName>
    <definedName name="hambuja_py.DataPT">#N/A</definedName>
    <definedName name="hambuja_py.Debits">#N/A</definedName>
    <definedName name="hambuja_py.Description">#N/A</definedName>
    <definedName name="hambuja_py.Ending_Balance">#N/A</definedName>
    <definedName name="hamir" hidden="1">{#N/A,#N/A,FALSE,"QC REVIEW"}</definedName>
    <definedName name="hap" hidden="1">{#N/A,#N/A,FALSE,"COVER1.XLS ";#N/A,#N/A,FALSE,"RACT1.XLS";#N/A,#N/A,FALSE,"RACT2.XLS";#N/A,#N/A,FALSE,"ECCMP";#N/A,#N/A,FALSE,"WELDER.XLS"}</definedName>
    <definedName name="Har">#REF!</definedName>
    <definedName name="HArea">#REF!</definedName>
    <definedName name="hari">"グラフ 6"</definedName>
    <definedName name="Harish" hidden="1">{"C COM Detail Qtr of",#N/A,FALSE,"DATA";"D Exp Detail Qtr of",#N/A,FALSE,"DATA"}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bi4stat">#REF!</definedName>
    <definedName name="hBR1S_AntalNklKol">0</definedName>
    <definedName name="HC">#REF!</definedName>
    <definedName name="hC_AntalNklKol">0</definedName>
    <definedName name="hC1_AntalNklKol">0</definedName>
    <definedName name="hC2_AntalNklKol">0</definedName>
    <definedName name="hC20G_AntalKolumner">5</definedName>
    <definedName name="hC20G_AntalNklKol">0</definedName>
    <definedName name="hC22_AntalNklKol">0</definedName>
    <definedName name="hC3_AntalNklKol">0</definedName>
    <definedName name="hC30D_AntalKolumner">82</definedName>
    <definedName name="hC30D_AntalNklKol">0</definedName>
    <definedName name="hC30G_AntalKolumner">82</definedName>
    <definedName name="hC30G_AntalNklKol">0</definedName>
    <definedName name="hC30M_AntalKolumner">82</definedName>
    <definedName name="hC30M_AntalNklKol">0</definedName>
    <definedName name="hC3PI_AntalNklKol">0</definedName>
    <definedName name="hC3SHIP_AntalNklKol">0</definedName>
    <definedName name="hC4_AntalNklKol">0</definedName>
    <definedName name="hC40GBA_AntalNklKol">0</definedName>
    <definedName name="hC40GBB_AntalNklKol">0</definedName>
    <definedName name="hC40GBC_AntalNklKol">0</definedName>
    <definedName name="hC40MBA_AntalNklKol">0</definedName>
    <definedName name="hC40MBB_AntalNklKol">0</definedName>
    <definedName name="hC40MBC_AntalNklKol">0</definedName>
    <definedName name="hC50D_AntalKolumner">82</definedName>
    <definedName name="hC50D_AntalNklKol">0</definedName>
    <definedName name="hC50G_AntalKolumner">82</definedName>
    <definedName name="hC50G_AntalNklKol">0</definedName>
    <definedName name="hC50M_AntalKolumner">82</definedName>
    <definedName name="hC50M_AntalNklKol">0</definedName>
    <definedName name="hC70G_AntalKolumner">54</definedName>
    <definedName name="hC70G_AntalNklKol">0</definedName>
    <definedName name="hC80G_AntalKolumner">54</definedName>
    <definedName name="hC80G_AntalNklKol">0</definedName>
    <definedName name="hcad">#REF!</definedName>
    <definedName name="hcbal">#REF!</definedName>
    <definedName name="hceng">#REF!</definedName>
    <definedName name="hceod">#REF!</definedName>
    <definedName name="HCM">#REF!</definedName>
    <definedName name="HCost">#REF!</definedName>
    <definedName name="hCPART_AntalNklKol">0</definedName>
    <definedName name="HCV">#REF!</definedName>
    <definedName name="hdoihd\" hidden="1">#REF!</definedName>
    <definedName name="head">#N/A</definedName>
    <definedName name="HEAD_1">#REF!</definedName>
    <definedName name="head1">#REF!</definedName>
    <definedName name="head2">#REF!</definedName>
    <definedName name="headcount">#REF!</definedName>
    <definedName name="HeadcountStatistics">#REF!</definedName>
    <definedName name="Header">#REF!</definedName>
    <definedName name="Header_Row">ROW(#REF!)</definedName>
    <definedName name="Header1">MAX(#REF!)+1</definedName>
    <definedName name="HEADING">#REF!</definedName>
    <definedName name="headquarters">#REF!</definedName>
    <definedName name="HealolDuty5">#REF!</definedName>
    <definedName name="HealolDuty7">#REF!</definedName>
    <definedName name="HealolDuty8">#REF!</definedName>
    <definedName name="HealolStock5">#REF!</definedName>
    <definedName name="HealolStock7">#REF!</definedName>
    <definedName name="HealolStock8">#REF!</definedName>
    <definedName name="HealolVAT5">#REF!</definedName>
    <definedName name="HealolVAT7">#REF!</definedName>
    <definedName name="HealolVAT8">#REF!</definedName>
    <definedName name="HEIDT">#N/A</definedName>
    <definedName name="Height">30</definedName>
    <definedName name="HEKIE?." hidden="1">{#N/A,#N/A,FALSE,"Tabl. FB300";#N/A,#N/A,FALSE,"Tabl. FB350";#N/A,#N/A,FALSE,"Tabl. FB400";#N/A,#N/A,FALSE,"Tabl. FB500";#N/A,#N/A,FALSE,"Tabl. FS090"}</definedName>
    <definedName name="HELLER">#REF!</definedName>
    <definedName name="HELP">#REF!</definedName>
    <definedName name="hemanth" hidden="1">{"SchN1",#N/A,FALSE,"Schedules"}</definedName>
    <definedName name="Hemas" hidden="1">{"'August 2000'!$A$1:$J$101"}</definedName>
    <definedName name="henkou">#REF!</definedName>
    <definedName name="herher" hidden="1">{TRUE,TRUE,-1.25,-15.5,484.5,255,FALSE,FALSE,TRUE,FALSE,0,2,16,1,6,13,5,4,TRUE,TRUE,3,TRUE,1,TRUE,75,"Swvu.A.","ACwvu.A.",#N/A,FALSE,FALSE,0.2,0.22,1,0.641,2,"&amp;L&amp;""Arial,Bold""&amp;11Essar Projects LimitedEOL Refinery Project&amp;C&amp;""Arial,Bold""&amp;14TOTAL REFINERY PROJECTREFINERY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">#REF!</definedName>
    <definedName name="HF1_HARN">#N/A</definedName>
    <definedName name="hffffffffffffffffffffff">#REF!</definedName>
    <definedName name="hffgh">ROW(#REF!)</definedName>
    <definedName name="hfghfg" hidden="1">{#N/A,#N/A,FALSE,"FFM"}</definedName>
    <definedName name="HFGJM" hidden="1">{#N/A,#N/A,FALSE,"PGW"}</definedName>
    <definedName name="HFGJM_1" hidden="1">{#N/A,#N/A,FALSE,"PGW"}</definedName>
    <definedName name="HFGJM_2" hidden="1">{#N/A,#N/A,FALSE,"PGW"}</definedName>
    <definedName name="HFGJM_3" hidden="1">{#N/A,#N/A,FALSE,"PGW"}</definedName>
    <definedName name="HFGJM_4" hidden="1">{#N/A,#N/A,FALSE,"PGW"}</definedName>
    <definedName name="HFinGraph" hidden="1">{#N/A,#N/A,FALSE,"Pharm";#N/A,#N/A,FALSE,"WWCM"}</definedName>
    <definedName name="HFUJYT" hidden="1">{#N/A,#N/A,FALSE,"PMTABB";#N/A,#N/A,FALSE,"PMTABB"}</definedName>
    <definedName name="HFUJYT_1" hidden="1">{#N/A,#N/A,FALSE,"PMTABB";#N/A,#N/A,FALSE,"PMTABB"}</definedName>
    <definedName name="HFUJYT_2" hidden="1">{#N/A,#N/A,FALSE,"PMTABB";#N/A,#N/A,FALSE,"PMTABB"}</definedName>
    <definedName name="HFUJYT_3" hidden="1">{#N/A,#N/A,FALSE,"PMTABB";#N/A,#N/A,FALSE,"PMTABB"}</definedName>
    <definedName name="HFUJYT_4" hidden="1">{#N/A,#N/A,FALSE,"PMTABB";#N/A,#N/A,FALSE,"PMTABB"}</definedName>
    <definedName name="hg" hidden="1">{#N/A,#N/A,TRUE,"SCR-LA 2000";#N/A,#N/A,TRUE,"SCR-LA 2001";#N/A,#N/A,TRUE,"SCR-LA 2002";#N/A,#N/A,TRUE,"SCR-LA 2003"}</definedName>
    <definedName name="hgdf" hidden="1">{#N/A,#N/A,TRUE,"2001 TOTAL";#N/A,#N/A,TRUE,"2001 Argentina";#N/A,#N/A,TRUE,"2001 Brazil";#N/A,#N/A,TRUE,"2001 Venezuela";#N/A,#N/A,TRUE,"2001 Chile";#N/A,#N/A,TRUE,"2001 Other Latin America";#N/A,#N/A,TRUE,"2001 Puerto Rico"}</definedName>
    <definedName name="hgf" hidden="1">{#N/A,#N/A,TRUE,"SCR-LA 2000";#N/A,#N/A,TRUE,"SCR-LA 2001";#N/A,#N/A,TRUE,"SCR-LA 2002";#N/A,#N/A,TRUE,"SCR-LA 2003"}</definedName>
    <definedName name="hgfd" hidden="1">{"BA detail",#N/A,FALSE,"Q3YTD "}</definedName>
    <definedName name="hgfs" hidden="1">{#N/A,#N/A,TRUE,"Argentina";#N/A,#N/A,TRUE,"Brazil";#N/A,#N/A,TRUE,"Venezuela";#N/A,#N/A,TRUE,"Chile";#N/A,#N/A,TRUE,"Other LA";#N/A,#N/A,TRUE,"Puerto Rico"}</definedName>
    <definedName name="hgh" hidden="1">{#N/A,#N/A,FALSE,"QC REVIEW"}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kdj" hidden="1">{"AnnualRentRoll",#N/A,FALSE,"RentRoll"}</definedName>
    <definedName name="hgkdj_1" hidden="1">{"AnnualRentRoll",#N/A,FALSE,"RentRoll"}</definedName>
    <definedName name="hgkh" hidden="1">{#N/A,#N/A,FALSE,"Aging Summary";#N/A,#N/A,FALSE,"Ratio Analysis";#N/A,#N/A,FALSE,"Test 120 Day Accts";#N/A,#N/A,FALSE,"Tickmarks"}</definedName>
    <definedName name="HGMYGJ" hidden="1">{#N/A,#N/A,FALSE,"OSBL"}</definedName>
    <definedName name="HGMYGJ_1" hidden="1">{#N/A,#N/A,FALSE,"OSBL"}</definedName>
    <definedName name="HGMYGJ_2" hidden="1">{#N/A,#N/A,FALSE,"OSBL"}</definedName>
    <definedName name="HGMYGJ_3" hidden="1">{#N/A,#N/A,FALSE,"OSBL"}</definedName>
    <definedName name="HGMYGJ_4" hidden="1">{#N/A,#N/A,FALSE,"OSBL"}</definedName>
    <definedName name="hgsfs" hidden="1">{#N/A,#N/A,TRUE,"2001 TOTAL";#N/A,#N/A,TRUE,"2001 Argentina";#N/A,#N/A,TRUE,"2001 Brazil";#N/A,#N/A,TRUE,"2001 Venezuela";#N/A,#N/A,TRUE,"2001 Chile";#N/A,#N/A,TRUE,"2001 Other Latin America";#N/A,#N/A,TRUE,"2001 Puerto Rico"}</definedName>
    <definedName name="hgwr" hidden="1">{#N/A,#N/A,FALSE,"PGW"}</definedName>
    <definedName name="hgwr_1" hidden="1">{#N/A,#N/A,FALSE,"PGW"}</definedName>
    <definedName name="hgwr_2" hidden="1">{#N/A,#N/A,FALSE,"PGW"}</definedName>
    <definedName name="hgwr_3" hidden="1">{#N/A,#N/A,FALSE,"PGW"}</definedName>
    <definedName name="hgwr_4" hidden="1">{#N/A,#N/A,FALSE,"PGW"}</definedName>
    <definedName name="hh" hidden="1">{"C COM Detail Qtr of",#N/A,FALSE,"DATA";"D Exp Detail Qtr of",#N/A,FALSE,"DATA"}</definedName>
    <definedName name="hh.k" hidden="1">{#N/A,#N/A,FALSE,"KA CH  (2)"}</definedName>
    <definedName name="HHcat">#REF!</definedName>
    <definedName name="HHda">#REF!</definedName>
    <definedName name="HHH">#REF!</definedName>
    <definedName name="hhhh">#REF!</definedName>
    <definedName name="hhhhh" hidden="1">{"page 1",#N/A,FALSE,"A";"page 2",#N/A,FALSE,"A";"page 3",#N/A,FALSE,"A";"page 4",#N/A,FALSE,"A";"page 5",#N/A,FALSE,"A"}</definedName>
    <definedName name="hhhhhh" hidden="1">{"'OBT_6M_30_6'!$S$1:$AE$53"}</definedName>
    <definedName name="HHJ">#REF!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Hxm">#REF!</definedName>
    <definedName name="h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_TECH">#REF!</definedName>
    <definedName name="Hibh" hidden="1">{#N/A,#N/A,FALSE,"Pharm";#N/A,#N/A,FALSE,"WWCM"}</definedName>
    <definedName name="HICOUT">#N/A</definedName>
    <definedName name="HiddenRows" hidden="1">#REF!</definedName>
    <definedName name="hide_area">#REF!,#REF!,#REF!,#REF!,#REF!,#REF!</definedName>
    <definedName name="HideCRBHist">#N/A</definedName>
    <definedName name="HIDESAP">#N/A</definedName>
    <definedName name="HideToggle">TRUE</definedName>
    <definedName name="hien">#REF!</definedName>
    <definedName name="High" hidden="1">{#N/A,#N/A,FALSE,"Pharm";#N/A,#N/A,FALSE,"WWCM"}</definedName>
    <definedName name="HIGHLIGHTS">#REF!</definedName>
    <definedName name="HIGHLIGHTS2">#REF!</definedName>
    <definedName name="hihiofhasdioh">#REF!</definedName>
    <definedName name="HII">#REF!</definedName>
    <definedName name="hind">#REF!</definedName>
    <definedName name="Hire">27</definedName>
    <definedName name="HIRE_1">#REF!</definedName>
    <definedName name="HIRE_2">#REF!</definedName>
    <definedName name="HIRE_3">#REF!</definedName>
    <definedName name="HIRE_4">#REF!</definedName>
    <definedName name="HIRE_MAIN">#REF!</definedName>
    <definedName name="HIS">#REF!</definedName>
    <definedName name="HistForc">#REF!</definedName>
    <definedName name="histo">#REF!</definedName>
    <definedName name="hitesh">#REF!</definedName>
    <definedName name="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dg" hidden="1">{#N/A,#N/A,FALSE,"PropertyInfo"}</definedName>
    <definedName name="hjdg_1" hidden="1">{#N/A,#N/A,FALSE,"PropertyInfo"}</definedName>
    <definedName name="hjg" hidden="1">{"C COM Detail Qtr of",#N/A,FALSE,"DATA";"D Exp Detail Qtr of",#N/A,FALSE,"DATA"}</definedName>
    <definedName name="hjghhgyg" hidden="1">{"Polymers Details",#N/A,FALSE,"Current Yr";"Polymer Details",#N/A,FALSE,"Budget";"Polymer Details",#N/A,FALSE,"Prior Year"}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hidden="1">{#N/A,#N/A,FALSE,"Pharm";#N/A,#N/A,FALSE,"WWCM"}</definedName>
    <definedName name="hjhjfkfukywrte" hidden="1">{#N/A,#N/A,FALSE,"Pharm";#N/A,#N/A,FALSE,"WWCM"}</definedName>
    <definedName name="hjhkjkl" hidden="1">{#N/A,#N/A,FALSE,"Pharm";#N/A,#N/A,FALSE,"WWCM"}</definedName>
    <definedName name="hjj" hidden="1">{"C COM Detail Qtr of",#N/A,FALSE,"DATA";"D Exp Detail Qtr of",#N/A,FALSE,"DATA"}</definedName>
    <definedName name="hjjjkk" hidden="1">{#N/A,#N/A,FALSE,"REPORT"}</definedName>
    <definedName name="hjjkk" hidden="1">{#N/A,#N/A,FALSE,"Pharm";#N/A,#N/A,FALSE,"WWCM"}</definedName>
    <definedName name="hjk" hidden="1">{"'Sheet1'!$A$2:$F$69"}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fh_control" hidden="1">{"'August 2000'!$A$1:$J$101"}</definedName>
    <definedName name="hjkhjk" hidden="1">{#N/A,#N/A,FALSE,"KA CH  (2)"}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hidden="1">{"A Performance Report",#N/A,FALSE,"%Performance"}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oo" hidden="1">{"A Performance Report",#N/A,FALSE,"%Performance"}</definedName>
    <definedName name="hkd">#REF!</definedName>
    <definedName name="hkdnow">#REF!</definedName>
    <definedName name="HKDRMB">#REF!</definedName>
    <definedName name="HKIS2Q2">#REF!</definedName>
    <definedName name="HKIS2Q2_4">#REF!</definedName>
    <definedName name="HKIS3Q2">#REF!</definedName>
    <definedName name="HKIS3Q2_4">#REF!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SH" hidden="1">{#N/A,#N/A,FALSE,"REPORT"}</definedName>
    <definedName name="hlh" hidden="1">#REF!</definedName>
    <definedName name="HLREC">#REF!</definedName>
    <definedName name="HLS">#REF!</definedName>
    <definedName name="HMG" hidden="1">{#N/A,#N/A,FALSE,"REPORT"}</definedName>
    <definedName name="hn" hidden="1">{"'Sch B'!$B$15:$L$17"}</definedName>
    <definedName name="HO">#REF!</definedName>
    <definedName name="hoc">55000</definedName>
    <definedName name="HOInterestMonth1Budget">#REF!</definedName>
    <definedName name="HOInterestUnpaidMonth1Actuals">#REF!</definedName>
    <definedName name="HOInterestUnpaidMonth1Budget">#REF!</definedName>
    <definedName name="HOInterestUnpaidMonth2Actuals">#REF!</definedName>
    <definedName name="HOInterestUnpaidMonth2Budget">#REF!</definedName>
    <definedName name="HOInterestUnpaidMonth3Actuals">#REF!</definedName>
    <definedName name="HOInterestUnpaidMonth3Budget">#REF!</definedName>
    <definedName name="HOInterestUnpaidMonth4Actuals">#REF!</definedName>
    <definedName name="HOInterestUnpaidMonth4Budget">#REF!</definedName>
    <definedName name="HOInterestUnpaidYTDActuals">#REF!</definedName>
    <definedName name="HOInterestUnpaidYTDBudget">#REF!</definedName>
    <definedName name="hola1" hidden="1">{#N/A,#N/A,FALSE,"BALLANTINE´S ";#N/A,#N/A,FALSE,"FUNDADOR"}</definedName>
    <definedName name="hold_confirmed_cost">#REF!</definedName>
    <definedName name="hold_estimated_cost">#REF!</definedName>
    <definedName name="Holdback">#REF!</definedName>
    <definedName name="HOLIDAY">#REF!</definedName>
    <definedName name="HOLL">#REF!</definedName>
    <definedName name="HOLLAND">#REF!</definedName>
    <definedName name="HOME">#REF!</definedName>
    <definedName name="HOME_MANP">#REF!</definedName>
    <definedName name="HOMEOFFICE_COST">#REF!</definedName>
    <definedName name="Honeywell_Subs">#REF!</definedName>
    <definedName name="HOPIP" hidden="1">{#N/A,#N/A,FALSE,"PMTABB";#N/A,#N/A,FALSE,"PMTABB"}</definedName>
    <definedName name="HOPIP_1" hidden="1">{#N/A,#N/A,FALSE,"PMTABB";#N/A,#N/A,FALSE,"PMTABB"}</definedName>
    <definedName name="HOPIP_2" hidden="1">{#N/A,#N/A,FALSE,"PMTABB";#N/A,#N/A,FALSE,"PMTABB"}</definedName>
    <definedName name="HOPIP_3" hidden="1">{#N/A,#N/A,FALSE,"PMTABB";#N/A,#N/A,FALSE,"PMTABB"}</definedName>
    <definedName name="HOPIP_4" hidden="1">{#N/A,#N/A,FALSE,"PMTABB";#N/A,#N/A,FALSE,"PMTABB"}</definedName>
    <definedName name="Hotel_Project">#REF!</definedName>
    <definedName name="hoten">#REF!</definedName>
    <definedName name="Hoü_vaì_tãn">#REF!</definedName>
    <definedName name="house_property">#REF!</definedName>
    <definedName name="Housing_Asy_Heater">#REF!</definedName>
    <definedName name="Housing_Asy_Heater_Blower">#REF!</definedName>
    <definedName name="Housing_Asy_Heater_Evaporator">#REF!</definedName>
    <definedName name="Housing_Heater_LH__LHD">#REF!</definedName>
    <definedName name="Housing_Heater_LH__RHD">#REF!</definedName>
    <definedName name="Housing_Heater_RH__LHD">#REF!</definedName>
    <definedName name="Housing_Heater_RH__RHD">#REF!</definedName>
    <definedName name="Housing_Htr_Inlet_Duct__LHD_LH_REC">#REF!</definedName>
    <definedName name="Housing_Htr_Inlet_Duct__LHD_RH_REC">#REF!</definedName>
    <definedName name="Housing_Htr_Inlet_Duct__RHD_LH_REC">#REF!</definedName>
    <definedName name="Housing_Htr_Inlet_Duct__RHD_RH_REC">#REF!</definedName>
    <definedName name="Housing_Htr_Lower">#REF!</definedName>
    <definedName name="hp.IncOfCurYrAfterSetOff2">#REF!</definedName>
    <definedName name="HP.TotalIncomeChargeableUnHP">#REF!</definedName>
    <definedName name="hP_AntalNklKol">0</definedName>
    <definedName name="hPLPENTA_AntalNklKol">0</definedName>
    <definedName name="hpm">#REF!</definedName>
    <definedName name="HPNL">#REF!</definedName>
    <definedName name="hPT_AntalNklKol">0</definedName>
    <definedName name="hpy">#REF!</definedName>
    <definedName name="hr">#REF!</definedName>
    <definedName name="HRAD">#REF!,#REF!</definedName>
    <definedName name="HRD">#REF!</definedName>
    <definedName name="hre" hidden="1">{#N/A,#N/A,FALSE,"TOWNSHIP"}</definedName>
    <definedName name="hre_1" hidden="1">{#N/A,#N/A,FALSE,"TOWNSHIP"}</definedName>
    <definedName name="hre_2" hidden="1">{#N/A,#N/A,FALSE,"TOWNSHIP"}</definedName>
    <definedName name="hre_3" hidden="1">{#N/A,#N/A,FALSE,"TOWNSHIP"}</definedName>
    <definedName name="hre_4" hidden="1">{#N/A,#N/A,FALSE,"TOWNSHIP"}</definedName>
    <definedName name="hs" hidden="1">{#N/A,#N/A,TRUE,"SCR-LA 2000";#N/A,#N/A,TRUE,"SCR-LA 2001";#N/A,#N/A,TRUE,"SCR-LA 2002";#N/A,#N/A,TRUE,"SCR-LA 2003"}</definedName>
    <definedName name="HS_NO">#REF!</definedName>
    <definedName name="hs_num1">#REF!</definedName>
    <definedName name="hs_num2">#REF!</definedName>
    <definedName name="HS_Ops">#REF!</definedName>
    <definedName name="hs_prior">#REF!</definedName>
    <definedName name="HS_PSI">#REF!</definedName>
    <definedName name="HSBC_CC">#REF!</definedName>
    <definedName name="HSG">#REF!</definedName>
    <definedName name="hshhr" hidden="1">{#N/A,#N/A,TRUE,"Staffnos &amp; cost"}</definedName>
    <definedName name="hßm4">#REF!</definedName>
    <definedName name="ht">{"'Changes Log'!$A$1:$F$25"}</definedName>
    <definedName name="HTEH">#REF!</definedName>
    <definedName name="htm">{"'Changes Log'!$A$1:$F$25"}</definedName>
    <definedName name="html" hidden="1">{"'kpi2-1'!$E$4"}</definedName>
    <definedName name="HTML_CodePage" hidden="1">1252</definedName>
    <definedName name="HTML_Control" hidden="1">{"'Sheet1'!$B$1:$B$2"}</definedName>
    <definedName name="HTML_Control_1">{"'August 2000'!$A$1:$J$101"}</definedName>
    <definedName name="HTML_Control_2">{"'August 2000'!$A$1:$J$101"}</definedName>
    <definedName name="HTML_Control_3">{"'August 2000'!$A$1:$J$101"}</definedName>
    <definedName name="HTML_Control_4">{"'August 2000'!$A$1:$J$101"}</definedName>
    <definedName name="HTML_Control_5">{"'August 2000'!$A$1:$J$101"}</definedName>
    <definedName name="HTML_Control1">{"'Changes Log'!$A$1:$F$25"}</definedName>
    <definedName name="HTML_Description" hidden="1">""</definedName>
    <definedName name="HTML_Email" hidden="1">""</definedName>
    <definedName name="HTML_Header" hidden="1">"Sheet1"</definedName>
    <definedName name="HTML_LastUpdate" hidden="1">"4/19/00"</definedName>
    <definedName name="HTML_LineAfter" hidden="1">FALSE</definedName>
    <definedName name="HTML_LineBefore" hidden="1">FALSE</definedName>
    <definedName name="HTML_Name" hidden="1">"SUMIT"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FileMac" hidden="1">"Macintosh HD:HomePageStuff:New_Home_Page:datafile:histret.html"</definedName>
    <definedName name="HTML_PathTemplate" hidden="1">"C:\WINDOWS\Profiles\Kartikj\My Documents\HTMLTemp.htm"</definedName>
    <definedName name="HTML_Title" hidden="1">"wipmar2000"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3_10" hidden="1">""</definedName>
    <definedName name="HTML3_11" hidden="1">1</definedName>
    <definedName name="HTML3_12" hidden="1">"C:\WINDOWS\DESKTOP\MyHTML.htm"</definedName>
    <definedName name="HTML3_2" hidden="1">1</definedName>
    <definedName name="HTML3_3" hidden="1">"BSC-MTX Tool 4"</definedName>
    <definedName name="HTML3_4" hidden="1">"Materials List"</definedName>
    <definedName name="HTML3_5" hidden="1">""</definedName>
    <definedName name="HTML3_6" hidden="1">1</definedName>
    <definedName name="HTML3_7" hidden="1">1</definedName>
    <definedName name="HTML3_8" hidden="1">"2/10/97"</definedName>
    <definedName name="HTML3_9" hidden="1">"Nortel"</definedName>
    <definedName name="HTML4_10" hidden="1">""</definedName>
    <definedName name="HTML4_11" hidden="1">1</definedName>
    <definedName name="HTML4_12" hidden="1">"C:\My Documents\MyHTML.htm"</definedName>
    <definedName name="HTML4_2" hidden="1">1</definedName>
    <definedName name="HTML4_3" hidden="1">"BSC-MTX Tool 4"</definedName>
    <definedName name="HTML4_4" hidden="1">"BSC Order Tool"</definedName>
    <definedName name="HTML4_5" hidden="1">""</definedName>
    <definedName name="HTML4_6" hidden="1">-4146</definedName>
    <definedName name="HTML4_7" hidden="1">-4146</definedName>
    <definedName name="HTML4_8" hidden="1">"2/10/97"</definedName>
    <definedName name="HTML4_9" hidden="1">"Nortel"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"BSC-MTX Tool 4"</definedName>
    <definedName name="HTML5_4" hidden="1">"Materials List"</definedName>
    <definedName name="HTML5_5" hidden="1">""</definedName>
    <definedName name="HTML5_6" hidden="1">1</definedName>
    <definedName name="HTML5_7" hidden="1">1</definedName>
    <definedName name="HTML5_8" hidden="1">"2/10/97"</definedName>
    <definedName name="HTML5_9" hidden="1">"Nortel"</definedName>
    <definedName name="HTML6_10" hidden="1">""</definedName>
    <definedName name="HTML6_11" hidden="1">1</definedName>
    <definedName name="HTML6_12" hidden="1">"C:\WINDOWS\DESKTOP\NetDesigns\KSCY02.htm"</definedName>
    <definedName name="HTML6_2" hidden="1">1</definedName>
    <definedName name="HTML6_3" hidden="1">"BSC-MTX Tool 4"</definedName>
    <definedName name="HTML6_4" hidden="1">"Materials List"</definedName>
    <definedName name="HTML6_5" hidden="1">""</definedName>
    <definedName name="HTML6_6" hidden="1">1</definedName>
    <definedName name="HTML6_7" hidden="1">1</definedName>
    <definedName name="HTML6_8" hidden="1">"2/11/97"</definedName>
    <definedName name="HTML6_9" hidden="1">"Nortel - CDMA Network Planning"</definedName>
    <definedName name="HTMLCount" hidden="1">2</definedName>
    <definedName name="htmlt">{"'Changes Log'!$A$1:$F$25"}</definedName>
    <definedName name="htmm">{"'Changes Log'!$A$1:$F$25"}</definedName>
    <definedName name="HTR">#REF!</definedName>
    <definedName name="Htr._Assy_LHD">#REF!</definedName>
    <definedName name="Htr._Assy_RHD">#REF!</definedName>
    <definedName name="htt">{"'Changes Log'!$A$1:$F$25"}</definedName>
    <definedName name="htyhyth" hidden="1">{#N/A,#N/A,FALSE,"FFM"}</definedName>
    <definedName name="htyuityuiotio" hidden="1">{#N/A,#N/A,FALSE,"REPORT"}</definedName>
    <definedName name="h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U_AntalNklKol">0</definedName>
    <definedName name="hU23P_AntalNklKol">0</definedName>
    <definedName name="hU30G_AntalKolumner">40</definedName>
    <definedName name="hU30G_AntalNklKol">0</definedName>
    <definedName name="hU30M_AntalKolumner">40</definedName>
    <definedName name="hU30M_AntalNklKol">0</definedName>
    <definedName name="hubperinst">#REF!</definedName>
    <definedName name="hufk">#REF!</definedName>
    <definedName name="hUL_AntalNklKol">0</definedName>
    <definedName name="Human_Capital_Income_Statement">#REF!</definedName>
    <definedName name="Human_Capital_Return_On_Investment">#REF!</definedName>
    <definedName name="Human2">#REF!</definedName>
    <definedName name="HUNT">#N/A</definedName>
    <definedName name="huy" hidden="1">{"'Sheet1'!$L$16"}</definedName>
    <definedName name="hw" hidden="1">{#N/A,#N/A,FALSE,"SUMMARY";#N/A,#N/A,FALSE,"SUMMARY"}</definedName>
    <definedName name="hw_1" hidden="1">{#N/A,#N/A,FALSE,"SUMMARY";#N/A,#N/A,FALSE,"SUMMARY"}</definedName>
    <definedName name="hw_2" hidden="1">{#N/A,#N/A,FALSE,"SUMMARY";#N/A,#N/A,FALSE,"SUMMARY"}</definedName>
    <definedName name="hw_3" hidden="1">{#N/A,#N/A,FALSE,"SUMMARY";#N/A,#N/A,FALSE,"SUMMARY"}</definedName>
    <definedName name="hw_4" hidden="1">{#N/A,#N/A,FALSE,"SUMMARY";#N/A,#N/A,FALSE,"SUMMARY"}</definedName>
    <definedName name="hwB">#REF!</definedName>
    <definedName name="HWCESI">#REF!</definedName>
    <definedName name="HWCSTAT">#REF!</definedName>
    <definedName name="hxgfn" hidden="1">{#N/A,#N/A,TRUE,"2001 TOTAL";#N/A,#N/A,TRUE,"2001 Argentina";#N/A,#N/A,TRUE,"2001 Brazil";#N/A,#N/A,TRUE,"2001 Venezuela";#N/A,#N/A,TRUE,"2001 Chile";#N/A,#N/A,TRUE,"2001 Other Latin America";#N/A,#N/A,TRUE,"2001 Puerto Rico"}</definedName>
    <definedName name="h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D">#N/A</definedName>
    <definedName name="Hyderabad">#REF!</definedName>
    <definedName name="Hypertention" hidden="1">{#N/A,#N/A,FALSE,"Pharm";#N/A,#N/A,FALSE,"WWCM"}</definedName>
    <definedName name="hypo" hidden="1">{#N/A,#N/A,FALSE,"Pharm";#N/A,#N/A,FALSE,"WWCM"}</definedName>
    <definedName name="hyth">#N/A</definedName>
    <definedName name="hythtyh" hidden="1">{#N/A,#N/A,FALSE,"FFM"}</definedName>
    <definedName name="hytyhyt">#N/A</definedName>
    <definedName name="HYUNDAI">#REF!</definedName>
    <definedName name="hyyt" hidden="1">{#N/A,#N/A,FALSE,"QC REVIEW"}</definedName>
    <definedName name="I">#REF!</definedName>
    <definedName name="IA80.TotSchedule80_IA">#REF!</definedName>
    <definedName name="IAFBL">#REF!</definedName>
    <definedName name="IAFNOI">#REF!</definedName>
    <definedName name="IAFPL">#REF!</definedName>
    <definedName name="iaj">#REF!</definedName>
    <definedName name="IB80.TotSchedule80_IB">#REF!</definedName>
    <definedName name="IBD_FINAL">#REF!</definedName>
    <definedName name="ibnjks" hidden="1">{"detail",#N/A,FALSE,"mfg";"summary",#N/A,FALSE,"mfg"}</definedName>
    <definedName name="Ibuprofen">#REF!</definedName>
    <definedName name="IC">{"Client Name or Project Name"}</definedName>
    <definedName name="IC80.TotDeductInNorthEast">#REF!</definedName>
    <definedName name="IC80.TotSchedule80_IC">#REF!</definedName>
    <definedName name="ICA">{"Client Name or Project Name"}</definedName>
    <definedName name="icannpay">#REF!</definedName>
    <definedName name="ICAPL">#REF!</definedName>
    <definedName name="ICBI" hidden="1">{#N/A,#N/A,FALSE,"Aging Summary";#N/A,#N/A,FALSE,"Ratio Analysis";#N/A,#N/A,FALSE,"Test 120 Day Accts";#N/A,#N/A,FALSE,"Tickmarks"}</definedName>
    <definedName name="ICBI_1" hidden="1">{#N/A,#N/A,FALSE,"Aging Summary";#N/A,#N/A,FALSE,"Ratio Analysis";#N/A,#N/A,FALSE,"Test 120 Day Accts";#N/A,#N/A,FALSE,"Tickmarks"}</definedName>
    <definedName name="ICBL">#REF!</definedName>
    <definedName name="icd">#REF!</definedName>
    <definedName name="ichrpay">#REF!</definedName>
    <definedName name="icic">#REF!</definedName>
    <definedName name="ICNOI">#REF!</definedName>
    <definedName name="icotpr">#REF!</definedName>
    <definedName name="icp">#REF!</definedName>
    <definedName name="ICPL">#REF!</definedName>
    <definedName name="ID">#REF!</definedName>
    <definedName name="idbi">#REF!</definedName>
    <definedName name="IDC_Calc">#REF!</definedName>
    <definedName name="IDC_Paste">#REF!</definedName>
    <definedName name="idiot" hidden="1">{"dep. full detail",#N/A,FALSE,"annex";"3cd annex",#N/A,FALSE,"annex";"co. dep.",#N/A,FALSE,"annex"}</definedName>
    <definedName name="IDLAB_COST">#REF!</definedName>
    <definedName name="IDReference" hidden="1">"A1"</definedName>
    <definedName name="iejvcuirfdhjf" hidden="1">{"'BGT2001'!$A$1:$AE$112"}</definedName>
    <definedName name="ifhp">#REF!</definedName>
    <definedName name="ihb" hidden="1">{#N/A,#N/A,FALSE,"Tabl. D1";#N/A,#N/A,FALSE,"Tabl. D1 b";#N/A,#N/A,FALSE,"Tabl. D2";#N/A,#N/A,FALSE,"Tabl. D2 b";#N/A,#N/A,FALSE,"Tabl. D3";#N/A,#N/A,FALSE,"Tabl. D4";#N/A,#N/A,FALSE,"Tabl. D5"}</definedName>
    <definedName name="IHBL">#REF!</definedName>
    <definedName name="IHNOI">#REF!</definedName>
    <definedName name="IHPL">#REF!</definedName>
    <definedName name="IHPPL">#REF!</definedName>
    <definedName name="II">#REF!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_control" hidden="1">{"'August 2000'!$A$1:$J$101"}</definedName>
    <definedName name="IIfinal">#REF!</definedName>
    <definedName name="III" hidden="1">#REF!</definedName>
    <definedName name="III_control" hidden="1">{"'August 2000'!$A$1:$J$101"}</definedName>
    <definedName name="iiiii" hidden="1">{#N/A,#N/A,FALSE,"Calc";#N/A,#N/A,FALSE,"Sensitivity";#N/A,#N/A,FALSE,"LT Earn.Dil.";#N/A,#N/A,FALSE,"Dil. AVP"}</definedName>
    <definedName name="IINDEX">#REF!</definedName>
    <definedName name="IIS3Q2">#REF!</definedName>
    <definedName name="IIS3Q2_4">#REF!</definedName>
    <definedName name="IISAMSAprInv">#REF!</definedName>
    <definedName name="IISAMSAugInv">#REF!</definedName>
    <definedName name="IISAMSDecInv">#REF!</definedName>
    <definedName name="IISAMSFebInv">#REF!</definedName>
    <definedName name="IISAMSJanInv">#REF!</definedName>
    <definedName name="IISAMSJulInv">#REF!</definedName>
    <definedName name="IISAMSJunInv">#REF!</definedName>
    <definedName name="IISAMSMarInv">#REF!</definedName>
    <definedName name="IISAMSMayInv">#REF!</definedName>
    <definedName name="IISAMSNovInv">#REF!</definedName>
    <definedName name="IISAMSOctInv">#REF!</definedName>
    <definedName name="IISAMSSepInv">#REF!</definedName>
    <definedName name="ijh">#REF!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>#REF!</definedName>
    <definedName name="IK_16">#REF!</definedName>
    <definedName name="IK_17">#REF!</definedName>
    <definedName name="IK_4">#REF!</definedName>
    <definedName name="ILT">#REF!</definedName>
    <definedName name="ILT_16">#REF!</definedName>
    <definedName name="ILT_17">#REF!</definedName>
    <definedName name="ILT_4">#REF!</definedName>
    <definedName name="Im_control" hidden="1">{"'August 2000'!$A$1:$J$101"}</definedName>
    <definedName name="IMCode">#REF!</definedName>
    <definedName name="Imodium">#REF!</definedName>
    <definedName name="IMP">#REF!</definedName>
    <definedName name="IMPORTDFF1">#REF!</definedName>
    <definedName name="IMPORTDFF2">#REF!</definedName>
    <definedName name="IMPORTDFF3">#REF!</definedName>
    <definedName name="IMPORTED">#REF!</definedName>
    <definedName name="ImportFile">#REF!</definedName>
    <definedName name="Imports">#REF!</definedName>
    <definedName name="IMPRIMANTE">#REF!</definedName>
    <definedName name="imprsynth">#REF!,#REF!,#REF!,#REF!,#REF!,#REF!,#REF!,#REF!</definedName>
    <definedName name="IMPT">#REF!</definedName>
    <definedName name="imptout">#REF!</definedName>
    <definedName name="IMPUESTO">#REF!</definedName>
    <definedName name="imspshiprec">#REF!</definedName>
    <definedName name="In" hidden="1">{#N/A,#N/A,FALSE,"gc (2)"}</definedName>
    <definedName name="IN_TAMT">#N/A</definedName>
    <definedName name="IN_TOTAL">#N/A</definedName>
    <definedName name="IN_TQTY">#N/A</definedName>
    <definedName name="IN_UC">#N/A</definedName>
    <definedName name="INAMT">#N/A</definedName>
    <definedName name="InbDuty">#REF!</definedName>
    <definedName name="InbFreight">#REF!</definedName>
    <definedName name="inc_Cwip_move">#REF!</definedName>
    <definedName name="INC_MONTH">#REF!</definedName>
    <definedName name="INC_ST">#REF!</definedName>
    <definedName name="INC_STMT_CUM">#REF!</definedName>
    <definedName name="INC_STMT_FINAL">#REF!</definedName>
    <definedName name="inccmd">#REF!</definedName>
    <definedName name="inccomp">#REF!</definedName>
    <definedName name="Incentive">#REF!</definedName>
    <definedName name="INCENTIVES">#REF!</definedName>
    <definedName name="incfland1">#REF!</definedName>
    <definedName name="incfland2">#REF!</definedName>
    <definedName name="inckppl">#REF!</definedName>
    <definedName name="incmall">#REF!</definedName>
    <definedName name="incnew">#REF!</definedName>
    <definedName name="incntv">#REF!</definedName>
    <definedName name="Inco">#REF!</definedName>
    <definedName name="incocpl">#REF!</definedName>
    <definedName name="Income">#REF!</definedName>
    <definedName name="INCOME.STATEMENT">#REF!</definedName>
    <definedName name="INCOME.STATEMENT.DET">#REF!</definedName>
    <definedName name="INCOME_C">#REF!</definedName>
    <definedName name="INCOME_L">#REF!</definedName>
    <definedName name="INCOME_P">#REF!</definedName>
    <definedName name="INCOME_STATEMENT">#REF!</definedName>
    <definedName name="INCOME_STATEMENT__ISD__M">#REF!</definedName>
    <definedName name="INCOME_STATEMENT_TFL">#REF!</definedName>
    <definedName name="INCOME_STMT1">#REF!</definedName>
    <definedName name="income_tax">#REF!</definedName>
    <definedName name="income97">#REF!</definedName>
    <definedName name="INCOMESTATEMENT">#REF!</definedName>
    <definedName name="INCOMTAX">#REF!</definedName>
    <definedName name="incpmd">#REF!</definedName>
    <definedName name="Incr_Sal">#REF!</definedName>
    <definedName name="IncrementalSalesTaxMonth1Budget">#REF!</definedName>
    <definedName name="incskyz">#REF!</definedName>
    <definedName name="incsprings">#REF!</definedName>
    <definedName name="INCST">#REF!</definedName>
    <definedName name="INCST_EBIDT">#REF!</definedName>
    <definedName name="Incst_ISDG">#REF!</definedName>
    <definedName name="INCSTA_FRAIKIN" hidden="1">{"'BGT2001'!$A$1:$AE$112"}</definedName>
    <definedName name="INCSTATE">#REF!</definedName>
    <definedName name="Incurr" hidden="1">{#N/A,#N/A,FALSE,"gc (2)"}</definedName>
    <definedName name="ind" hidden="1">{#N/A,#N/A,FALSE,"COMP"}</definedName>
    <definedName name="Ind_Comp">#REF!</definedName>
    <definedName name="IND_LAB">#REF!</definedName>
    <definedName name="Ind_Sales">#REF!</definedName>
    <definedName name="Indapamid">#REF!</definedName>
    <definedName name="INDEX">#N/A</definedName>
    <definedName name="INDEX_ANNEXURE">#REF!</definedName>
    <definedName name="INDEX_GLANCE">#REF!</definedName>
    <definedName name="india">#REF!</definedName>
    <definedName name="India_BiMetal">#REF!</definedName>
    <definedName name="India_Gabriel">#REF!</definedName>
    <definedName name="INDIA_PLASTIC_in_KUSD">#REF!</definedName>
    <definedName name="India_RGBronze">#REF!</definedName>
    <definedName name="INDIAN_RAYON_AND_INDUSTRIES_LIMITED">"ANNX1"</definedName>
    <definedName name="INDICAT">#REF!</definedName>
    <definedName name="INDICATORS">#REF!</definedName>
    <definedName name="INDIG">#N/A</definedName>
    <definedName name="indirect_expenses">#REF!</definedName>
    <definedName name="INDMANP">#REF!</definedName>
    <definedName name="INDPL">#REF!</definedName>
    <definedName name="INDRAD">OFFSET(#REF!,0,0,COUNTA(#REF!),COUNTA(#REF!))</definedName>
    <definedName name="InevitableBudgetedCompletionDate">#REF!</definedName>
    <definedName name="InevitableCommitted">#REF!</definedName>
    <definedName name="InevitableExpectedCompletionDate">#REF!</definedName>
    <definedName name="InevitableExpectedTotalExpenditure">#REF!</definedName>
    <definedName name="InevitableExpenditureToDate">#REF!</definedName>
    <definedName name="InevitablePercentComp.">#REF!</definedName>
    <definedName name="InevitablePercentSanctioned">#REF!</definedName>
    <definedName name="InevitableReviewRequired">#REF!</definedName>
    <definedName name="InevitableSanctioned">#REF!</definedName>
    <definedName name="Inflation">#REF!</definedName>
    <definedName name="Inflation_Rate">#REF!</definedName>
    <definedName name="Inflows">#REF!</definedName>
    <definedName name="INFO">#REF!</definedName>
    <definedName name="InfoTech2">#REF!</definedName>
    <definedName name="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ngjks" hidden="1">{"detail",#N/A,FALSE,"mfg";"summary",#N/A,FALSE,"mfg"}</definedName>
    <definedName name="INGLES">#REF!</definedName>
    <definedName name="iniske" hidden="1">{"detail",#N/A,FALSE,"mfg";"summary",#N/A,FALSE,"mfg"}</definedName>
    <definedName name="INIT">#REF!</definedName>
    <definedName name="inksl" hidden="1">{"detail",#N/A,FALSE,"mfg";"summary",#N/A,FALSE,"mfg"}</definedName>
    <definedName name="Inland">#REF!</definedName>
    <definedName name="INODCS" hidden="1">{#N/A,#N/A,FALSE,"BALLANTINE´S ";#N/A,#N/A,FALSE,"FUNDADOR"}</definedName>
    <definedName name="inout">#REF!</definedName>
    <definedName name="INPivot_Changeover">#REF!</definedName>
    <definedName name="INPivot_Current">#REF!</definedName>
    <definedName name="INPivot_Prior">#REF!</definedName>
    <definedName name="INPU" hidden="1">{#N/A,#N/A,FALSE,"QC REVIEW"}</definedName>
    <definedName name="INPUT">#REF!</definedName>
    <definedName name="Input1">#REF!</definedName>
    <definedName name="Input3">#REF!</definedName>
    <definedName name="InputPO">#REF!</definedName>
    <definedName name="Inputs">#REF!</definedName>
    <definedName name="INQTY">#N/A</definedName>
    <definedName name="INR">#REF!</definedName>
    <definedName name="INRATE1">#REF!</definedName>
    <definedName name="INS">#REF!</definedName>
    <definedName name="INSOLUTIDO">#REF!</definedName>
    <definedName name="INSOLUTIGD">#REF!</definedName>
    <definedName name="INSOLUTISPECIALE">#REF!</definedName>
    <definedName name="INSOLUTITRADIZIONALE">#REF!</definedName>
    <definedName name="INST_INGLES">#REF!</definedName>
    <definedName name="INSTR">#REF!</definedName>
    <definedName name="instructions">#REF!</definedName>
    <definedName name="INSULATION_CODE">#REF!</definedName>
    <definedName name="INSULATION_THIC">#REF!</definedName>
    <definedName name="insurance">#REF!</definedName>
    <definedName name="InsuranceFA">#REF!</definedName>
    <definedName name="InsuranceStock">#REF!</definedName>
    <definedName name="Int">#REF!</definedName>
    <definedName name="int_234A">#REF!</definedName>
    <definedName name="int_234B">#REF!</definedName>
    <definedName name="int_234C">#REF!</definedName>
    <definedName name="INT_EXI">#REF!</definedName>
    <definedName name="INT_FUN">#REF!</definedName>
    <definedName name="Int_on_Term_Loan">+#REF!</definedName>
    <definedName name="INT_PRO">#REF!</definedName>
    <definedName name="int_taxfree">#REF!</definedName>
    <definedName name="INT_WCTL">#REF!</definedName>
    <definedName name="int234B">#REF!</definedName>
    <definedName name="int234C">#REF!</definedName>
    <definedName name="Intangible_Benefits_Summary">#REF!</definedName>
    <definedName name="Intangibles" hidden="1">{"'I-1 and I-2'!$A$1:$G$190"}</definedName>
    <definedName name="IntBearDebit">#REF!</definedName>
    <definedName name="INTBN">#REF!</definedName>
    <definedName name="INTCAP">#REF!</definedName>
    <definedName name="integrated_cluste__link_MCN">#REF!</definedName>
    <definedName name="Inter">#REF!</definedName>
    <definedName name="Intercompany">#REF!</definedName>
    <definedName name="Intercorporate">#REF!</definedName>
    <definedName name="Interest">#REF!</definedName>
    <definedName name="Interest.Exp">#REF!</definedName>
    <definedName name="Interest___Finance_Charges__excluding_rebate">#REF!</definedName>
    <definedName name="interest_234">#REF!</definedName>
    <definedName name="interest_new">#REF!</definedName>
    <definedName name="Interest_Rate">#REF!</definedName>
    <definedName name="INTEREST_RECEIVED_OT">40643</definedName>
    <definedName name="InterestOnDebtMonth1Actuals">#REF!</definedName>
    <definedName name="InterestOnDebtMonth1Budget">#REF!</definedName>
    <definedName name="InterestOnDebtMonth2Actuals">#REF!</definedName>
    <definedName name="InterestOnDebtMonth2Budget">#REF!</definedName>
    <definedName name="InterestOnDebtMonth3Actuals">#REF!</definedName>
    <definedName name="InterestOnDebtMonth3Budget">#REF!</definedName>
    <definedName name="InterestOnDebtMonth4Actuals">#REF!</definedName>
    <definedName name="InterestOnDebtMonth4Budget">#REF!</definedName>
    <definedName name="InterestOnDebtYTDActuals">#REF!</definedName>
    <definedName name="InterestOnDebtYTDBudget">#REF!</definedName>
    <definedName name="Interestpaid">#REF!</definedName>
    <definedName name="InterestRate846">#REF!</definedName>
    <definedName name="Interestreceived">#REF!</definedName>
    <definedName name="Interface">#REF!</definedName>
    <definedName name="interior">#REF!</definedName>
    <definedName name="Internal_Cost">#REF!</definedName>
    <definedName name="Interunit_accounts">#REF!</definedName>
    <definedName name="intexp">#REF!</definedName>
    <definedName name="intinc">#REF!</definedName>
    <definedName name="intra">#REF!</definedName>
    <definedName name="INTRA05">#REF!</definedName>
    <definedName name="intra4">#REF!</definedName>
    <definedName name="intra5">#REF!</definedName>
    <definedName name="intra6">#REF!</definedName>
    <definedName name="INTRAC">#REF!</definedName>
    <definedName name="intrate">#REF!</definedName>
    <definedName name="intrec">#REF!</definedName>
    <definedName name="intsch">#REF!</definedName>
    <definedName name="INTT_1">#REF!</definedName>
    <definedName name="INTT_C">#REF!</definedName>
    <definedName name="INTT_EXP">#REF!</definedName>
    <definedName name="INTT_L">#REF!</definedName>
    <definedName name="INTT_P">#REF!</definedName>
    <definedName name="INV">#REF!</definedName>
    <definedName name="Inv_Availability">#REF!</definedName>
    <definedName name="Inv_Class">#REF!</definedName>
    <definedName name="Inv_Location">#REF!</definedName>
    <definedName name="Inv_No.">#REF!</definedName>
    <definedName name="INV_QUOTED_Shares">#REF!</definedName>
    <definedName name="Inv_Testing">#REF!</definedName>
    <definedName name="Inv_TO">#REF!</definedName>
    <definedName name="INV_UNQUOTED_Bonds">#REF!</definedName>
    <definedName name="INV_UNQUOTED_Debentures">#REF!</definedName>
    <definedName name="INV_UNQUOTED_Others">#REF!</definedName>
    <definedName name="INV_UNQUOTED_Shares">#REF!</definedName>
    <definedName name="InvDate">#REF!</definedName>
    <definedName name="inven">#REF!</definedName>
    <definedName name="Inventories">#REF!</definedName>
    <definedName name="inventor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rece">#REF!</definedName>
    <definedName name="INVEST1">#REF!</definedName>
    <definedName name="INVEST2">#REF!</definedName>
    <definedName name="INVESTABLEASSETS">#REF!</definedName>
    <definedName name="investment">#REF!</definedName>
    <definedName name="Investments">#REF!</definedName>
    <definedName name="Investor_Summary">#REF!</definedName>
    <definedName name="invoice">#REF!</definedName>
    <definedName name="invoices_issued">#REF!</definedName>
    <definedName name="invpks1">#REF!</definedName>
    <definedName name="invpks2">#REF!</definedName>
    <definedName name="INVSTMNT">#REF!</definedName>
    <definedName name="INVT_INCAPEX">#REF!</definedName>
    <definedName name="IO">#REF!</definedName>
    <definedName name="io_plan">#REF!</definedName>
    <definedName name="ioc">#REF!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p">#N/A</definedName>
    <definedName name="IOPP">#REF!</definedName>
    <definedName name="IP" hidden="1">{#N/A,#N/A,FALSE,"Pharm";#N/A,#N/A,FALSE,"WWCM"}</definedName>
    <definedName name="IPR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FS_AMORT_COST_FFIEC" hidden="1">"c20499"</definedName>
    <definedName name="IQ_ABS_AFS_FAIR_VAL_FFIEC" hidden="1">"c20464"</definedName>
    <definedName name="IQ_ABS_AVAIL_SALE_FFIEC" hidden="1">"c12802"</definedName>
    <definedName name="IQ_ABS_FFIEC" hidden="1">"c12788"</definedName>
    <definedName name="IQ_ABS_HTM_AMORT_COST_FFIEC" hidden="1">"c20447"</definedName>
    <definedName name="IQ_ABS_HTM_FAIR_VAL_FFIEC" hidden="1">"c20482"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ING_STANDARD_CIQ_COL" hidden="1">"c11739"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 hidden="1">"c13738"</definedName>
    <definedName name="IQ_ANALYST_NAME" hidden="1">"c13736"</definedName>
    <definedName name="IQ_ANALYST_NON_PER_DET_EST" hidden="1">"c12755"</definedName>
    <definedName name="IQ_ANALYST_NON_PER_DET_EST_THOM" hidden="1">"c12759"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ANAGED_GROWTH_RATE" hidden="1">"c20434"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ETS_UNDER_ADMINISTRATION" hidden="1">"c20432"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EQUITY_FUNDS" hidden="1">"c10039"</definedName>
    <definedName name="IQ_AUM_FEE_EARNING" hidden="1">"c20402"</definedName>
    <definedName name="IQ_AUM_FIXED_INCOME_FUNDS" hidden="1">"c10040"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MONEY_MARKET_FUNDS" hidden="1">"c10041"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" hidden="1">"c10042"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REV_PER_TRADE" hidden="1">"c20431"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ACT_OR_EST_REUT" hidden="1">"c5471"</definedName>
    <definedName name="IQ_BV_ACT_OR_EST_THOM" hidden="1">"c5308"</definedName>
    <definedName name="IQ_BV_EST" hidden="1">"c5624"</definedName>
    <definedName name="IQ_BV_EST_REUT" hidden="1">"c5403"</definedName>
    <definedName name="IQ_BV_EST_THOM" hidden="1">"c5147"</definedName>
    <definedName name="IQ_BV_HIGH_EST" hidden="1">"c5626"</definedName>
    <definedName name="IQ_BV_HIGH_EST_REUT" hidden="1">"c5405"</definedName>
    <definedName name="IQ_BV_HIGH_EST_THOM" hidden="1">"c5149"</definedName>
    <definedName name="IQ_BV_LOW_EST" hidden="1">"c5627"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_COL" hidden="1">"c11719"</definedName>
    <definedName name="IQ_BV_SHARE_ACT_OR_EST_REUT" hidden="1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NOTE" hidden="1">"c17545"</definedName>
    <definedName name="IQ_BV_SHARE_DET_EST_NOTE_THOM" hidden="1">"c17593"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DOWN_2MONTH" hidden="1">"c16573"</definedName>
    <definedName name="IQ_BV_SHARE_EST_DOWN_2MONTH_THOM" hidden="1">"c17389"</definedName>
    <definedName name="IQ_BV_SHARE_EST_DOWN_3MONTH" hidden="1">"c16577"</definedName>
    <definedName name="IQ_BV_SHARE_EST_DOWN_3MONTH_THOM" hidden="1">"c17393"</definedName>
    <definedName name="IQ_BV_SHARE_EST_DOWN_MONTH" hidden="1">"c16569"</definedName>
    <definedName name="IQ_BV_SHARE_EST_DOWN_MONTH_THOM" hidden="1">"c17385"</definedName>
    <definedName name="IQ_BV_SHARE_EST_NUM_ANALYSTS_2MONTH" hidden="1">"c16571"</definedName>
    <definedName name="IQ_BV_SHARE_EST_NUM_ANALYSTS_2MONTH_THOM" hidden="1">"c17387"</definedName>
    <definedName name="IQ_BV_SHARE_EST_NUM_ANALYSTS_3MONTH" hidden="1">"c16575"</definedName>
    <definedName name="IQ_BV_SHARE_EST_NUM_ANALYSTS_3MONTH_THOM" hidden="1">"c17391"</definedName>
    <definedName name="IQ_BV_SHARE_EST_NUM_ANALYSTS_MONTH" hidden="1">"c16567"</definedName>
    <definedName name="IQ_BV_SHARE_EST_NUM_ANALYSTS_MONTH_THOM" hidden="1">"c17383"</definedName>
    <definedName name="IQ_BV_SHARE_EST_REUT" hidden="1">"c5439"</definedName>
    <definedName name="IQ_BV_SHARE_EST_THOM" hidden="1">"c4020"</definedName>
    <definedName name="IQ_BV_SHARE_EST_TOTAL_REVISED_2MONTH" hidden="1">"c16574"</definedName>
    <definedName name="IQ_BV_SHARE_EST_TOTAL_REVISED_2MONTH_THOM" hidden="1">"c17390"</definedName>
    <definedName name="IQ_BV_SHARE_EST_TOTAL_REVISED_3MONTH" hidden="1">"c16578"</definedName>
    <definedName name="IQ_BV_SHARE_EST_TOTAL_REVISED_3MONTH_THOM" hidden="1">"c17394"</definedName>
    <definedName name="IQ_BV_SHARE_EST_TOTAL_REVISED_MONTH" hidden="1">"c16570"</definedName>
    <definedName name="IQ_BV_SHARE_EST_TOTAL_REVISED_MONTH_THOM" hidden="1">"c17386"</definedName>
    <definedName name="IQ_BV_SHARE_EST_UP_2MONTH" hidden="1">"c16572"</definedName>
    <definedName name="IQ_BV_SHARE_EST_UP_2MONTH_THOM" hidden="1">"c17388"</definedName>
    <definedName name="IQ_BV_SHARE_EST_UP_3MONTH" hidden="1">"c16576"</definedName>
    <definedName name="IQ_BV_SHARE_EST_UP_3MONTH_THOM" hidden="1">"c17392"</definedName>
    <definedName name="IQ_BV_SHARE_EST_UP_MONTH" hidden="1">"c16568"</definedName>
    <definedName name="IQ_BV_SHARE_EST_UP_MONTH_THOM" hidden="1">"c17384"</definedName>
    <definedName name="IQ_BV_SHARE_HIGH_EST" hidden="1">"c3542"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_COL" hidden="1">"c11718"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NOTE" hidden="1">"c17542"</definedName>
    <definedName name="IQ_CAPEX_DET_EST_NOTE_THOM" hidden="1">"c17590"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DOWN_2MONTH" hidden="1">"c16525"</definedName>
    <definedName name="IQ_CAPEX_EST_DOWN_2MONTH_THOM" hidden="1">"c17353"</definedName>
    <definedName name="IQ_CAPEX_EST_DOWN_3MONTH" hidden="1">"c16529"</definedName>
    <definedName name="IQ_CAPEX_EST_DOWN_3MONTH_THOM" hidden="1">"c17357"</definedName>
    <definedName name="IQ_CAPEX_EST_DOWN_MONTH" hidden="1">"c16521"</definedName>
    <definedName name="IQ_CAPEX_EST_DOWN_MONTH_THOM" hidden="1">"c17349"</definedName>
    <definedName name="IQ_CAPEX_EST_NUM_ANALYSTS_2MONTH" hidden="1">"c16523"</definedName>
    <definedName name="IQ_CAPEX_EST_NUM_ANALYSTS_2MONTH_THOM" hidden="1">"c17351"</definedName>
    <definedName name="IQ_CAPEX_EST_NUM_ANALYSTS_3MONTH" hidden="1">"c16527"</definedName>
    <definedName name="IQ_CAPEX_EST_NUM_ANALYSTS_3MONTH_THOM" hidden="1">"c17355"</definedName>
    <definedName name="IQ_CAPEX_EST_NUM_ANALYSTS_MONTH" hidden="1">"c16519"</definedName>
    <definedName name="IQ_CAPEX_EST_NUM_ANALYSTS_MONTH_THOM" hidden="1">"c17347"</definedName>
    <definedName name="IQ_CAPEX_EST_REUT" hidden="1">"c3969"</definedName>
    <definedName name="IQ_CAPEX_EST_THOM" hidden="1">"c5502"</definedName>
    <definedName name="IQ_CAPEX_EST_TOTAL_REVISED_2MONTH" hidden="1">"c16526"</definedName>
    <definedName name="IQ_CAPEX_EST_TOTAL_REVISED_2MONTH_THOM" hidden="1">"c17354"</definedName>
    <definedName name="IQ_CAPEX_EST_TOTAL_REVISED_3MONTH" hidden="1">"c16530"</definedName>
    <definedName name="IQ_CAPEX_EST_TOTAL_REVISED_3MONTH_THOM" hidden="1">"c17358"</definedName>
    <definedName name="IQ_CAPEX_EST_TOTAL_REVISED_MONTH" hidden="1">"c16522"</definedName>
    <definedName name="IQ_CAPEX_EST_TOTAL_REVISED_MONTH_THOM" hidden="1">"c17350"</definedName>
    <definedName name="IQ_CAPEX_EST_UP_2MONTH" hidden="1">"c16524"</definedName>
    <definedName name="IQ_CAPEX_EST_UP_2MONTH_THOM" hidden="1">"c17352"</definedName>
    <definedName name="IQ_CAPEX_EST_UP_3MONTH" hidden="1">"c16528"</definedName>
    <definedName name="IQ_CAPEX_EST_UP_3MONTH_THOM" hidden="1">"c17356"</definedName>
    <definedName name="IQ_CAPEX_EST_UP_MONTH" hidden="1">"c16520"</definedName>
    <definedName name="IQ_CAPEX_EST_UP_MONTH_THOM" hidden="1">"c17348"</definedName>
    <definedName name="IQ_CAPEX_FIN" hidden="1">"c112"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REUT" hidden="1">"c3971"</definedName>
    <definedName name="IQ_CAPEX_HIGH_EST_THOM" hidden="1">"c5504"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REUT" hidden="1">"c3972"</definedName>
    <definedName name="IQ_CAPEX_LOW_EST_THOM" hidden="1">"c5505"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REUT" hidden="1">"c3973"</definedName>
    <definedName name="IQ_CAPEX_NUM_EST_THOM" hidden="1">"c5506"</definedName>
    <definedName name="IQ_CAPEX_PCT_REV" hidden="1">"c19144"</definedName>
    <definedName name="IQ_CAPEX_STDDEV_EST" hidden="1">"c3522"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NOTE_THOM" hidden="1">"c17598"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DOWN_2MONTH" hidden="1">"c16333"</definedName>
    <definedName name="IQ_CASH_EPS_EST_DOWN_2MONTH_THOM" hidden="1">"c17197"</definedName>
    <definedName name="IQ_CASH_EPS_EST_DOWN_3MONTH" hidden="1">"c16337"</definedName>
    <definedName name="IQ_CASH_EPS_EST_DOWN_3MONTH_THOM" hidden="1">"c17201"</definedName>
    <definedName name="IQ_CASH_EPS_EST_DOWN_MONTH" hidden="1">"c16329"</definedName>
    <definedName name="IQ_CASH_EPS_EST_DOWN_MONTH_THOM" hidden="1">"c17193"</definedName>
    <definedName name="IQ_CASH_EPS_EST_NUM_ANALYSTS_2MONTH" hidden="1">"c16331"</definedName>
    <definedName name="IQ_CASH_EPS_EST_NUM_ANALYSTS_2MONTH_THOM" hidden="1">"c17195"</definedName>
    <definedName name="IQ_CASH_EPS_EST_NUM_ANALYSTS_3MONTH" hidden="1">"c16335"</definedName>
    <definedName name="IQ_CASH_EPS_EST_NUM_ANALYSTS_3MONTH_THOM" hidden="1">"c17199"</definedName>
    <definedName name="IQ_CASH_EPS_EST_NUM_ANALYSTS_MONTH" hidden="1">"c16327"</definedName>
    <definedName name="IQ_CASH_EPS_EST_NUM_ANALYSTS_MONTH_THOM" hidden="1">"c17191"</definedName>
    <definedName name="IQ_CASH_EPS_EST_THOM" hidden="1">"c5639"</definedName>
    <definedName name="IQ_CASH_EPS_EST_TOTAL_REVISED_2MONTH" hidden="1">"c16334"</definedName>
    <definedName name="IQ_CASH_EPS_EST_TOTAL_REVISED_2MONTH_THOM" hidden="1">"c17198"</definedName>
    <definedName name="IQ_CASH_EPS_EST_TOTAL_REVISED_3MONTH" hidden="1">"c16338"</definedName>
    <definedName name="IQ_CASH_EPS_EST_TOTAL_REVISED_3MONTH_THOM" hidden="1">"c17202"</definedName>
    <definedName name="IQ_CASH_EPS_EST_TOTAL_REVISED_MONTH" hidden="1">"c16330"</definedName>
    <definedName name="IQ_CASH_EPS_EST_TOTAL_REVISED_MONTH_THOM" hidden="1">"c17194"</definedName>
    <definedName name="IQ_CASH_EPS_EST_UP_2MONTH" hidden="1">"c16332"</definedName>
    <definedName name="IQ_CASH_EPS_EST_UP_2MONTH_THOM" hidden="1">"c17196"</definedName>
    <definedName name="IQ_CASH_EPS_EST_UP_3MONTH" hidden="1">"c16336"</definedName>
    <definedName name="IQ_CASH_EPS_EST_UP_3MONTH_THOM" hidden="1">"c17200"</definedName>
    <definedName name="IQ_CASH_EPS_EST_UP_MONTH" hidden="1">"c16328"</definedName>
    <definedName name="IQ_CASH_EPS_EST_UP_MONTH_THOM" hidden="1">"c17192"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EST" hidden="1">"c4157"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FS_AMORT_COST_FFIEC" hidden="1">"c20500"</definedName>
    <definedName name="IQ_CASH_STRUCTURED_PRODUCTS_AFS_FAIR_VAL_FFIEC" hidden="1">"c20465"</definedName>
    <definedName name="IQ_CASH_STRUCTURED_PRODUCTS_AVAIL_SALE_FFIEC" hidden="1">"c15263"</definedName>
    <definedName name="IQ_CASH_STRUCTURED_PRODUCTS_FFIEC" hidden="1">"c15260"</definedName>
    <definedName name="IQ_CASH_STRUCTURED_PRODUCTS_HTM_AMORT_COST_FFIEC" hidden="1">"c20448"</definedName>
    <definedName name="IQ_CASH_STRUCTURED_PRODUCTS_HTM_FAIR_VAL_FFIEC" hidden="1">"c20483"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_COL" hidden="1">"c11708"</definedName>
    <definedName name="IQ_CFPS_ACT_OR_EST_REUT" hidden="1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NOTE" hidden="1">"c17529"</definedName>
    <definedName name="IQ_CFPS_DET_EST_NOTE_THOM" hidden="1">"c17581"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DOWN_2MONTH" hidden="1">"c16321"</definedName>
    <definedName name="IQ_CFPS_EST_DOWN_2MONTH_THOM" hidden="1">"c17185"</definedName>
    <definedName name="IQ_CFPS_EST_DOWN_3MONTH" hidden="1">"c16325"</definedName>
    <definedName name="IQ_CFPS_EST_DOWN_3MONTH_THOM" hidden="1">"c17189"</definedName>
    <definedName name="IQ_CFPS_EST_DOWN_MONTH" hidden="1">"c16317"</definedName>
    <definedName name="IQ_CFPS_EST_DOWN_MONTH_THOM" hidden="1">"c17181"</definedName>
    <definedName name="IQ_CFPS_EST_NUM_ANALYSTS_2MONTH" hidden="1">"c16319"</definedName>
    <definedName name="IQ_CFPS_EST_NUM_ANALYSTS_2MONTH_THOM" hidden="1">"c17183"</definedName>
    <definedName name="IQ_CFPS_EST_NUM_ANALYSTS_3MONTH" hidden="1">"c16323"</definedName>
    <definedName name="IQ_CFPS_EST_NUM_ANALYSTS_3MONTH_THOM" hidden="1">"c17187"</definedName>
    <definedName name="IQ_CFPS_EST_NUM_ANALYSTS_MONTH" hidden="1">"c16315"</definedName>
    <definedName name="IQ_CFPS_EST_NUM_ANALYSTS_MONTH_THOM" hidden="1">"c17179"</definedName>
    <definedName name="IQ_CFPS_EST_REUT" hidden="1">"c3844"</definedName>
    <definedName name="IQ_CFPS_EST_THOM" hidden="1">"c4006"</definedName>
    <definedName name="IQ_CFPS_EST_TOTAL_REVISED_2MONTH" hidden="1">"c16322"</definedName>
    <definedName name="IQ_CFPS_EST_TOTAL_REVISED_2MONTH_THOM" hidden="1">"c17186"</definedName>
    <definedName name="IQ_CFPS_EST_TOTAL_REVISED_3MONTH" hidden="1">"c16326"</definedName>
    <definedName name="IQ_CFPS_EST_TOTAL_REVISED_3MONTH_THOM" hidden="1">"c17190"</definedName>
    <definedName name="IQ_CFPS_EST_TOTAL_REVISED_MONTH" hidden="1">"c16318"</definedName>
    <definedName name="IQ_CFPS_EST_TOTAL_REVISED_MONTH_THOM" hidden="1">"c17182"</definedName>
    <definedName name="IQ_CFPS_EST_UP_2MONTH" hidden="1">"c16320"</definedName>
    <definedName name="IQ_CFPS_EST_UP_2MONTH_THOM" hidden="1">"c17184"</definedName>
    <definedName name="IQ_CFPS_EST_UP_3MONTH" hidden="1">"c16324"</definedName>
    <definedName name="IQ_CFPS_EST_UP_3MONTH_THOM" hidden="1">"c17188"</definedName>
    <definedName name="IQ_CFPS_EST_UP_MONTH" hidden="1">"c16316"</definedName>
    <definedName name="IQ_CFPS_EST_UP_MONTH_THOM" hidden="1">"c17180"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REUT" hidden="1">"c3846"</definedName>
    <definedName name="IQ_CFPS_HIGH_EST_THOM" hidden="1">"c4008"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REUT" hidden="1">"c3847"</definedName>
    <definedName name="IQ_CFPS_LOW_EST_THOM" hidden="1">"c4009"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REUT" hidden="1">"c3849"</definedName>
    <definedName name="IQ_CFPS_STDDEV_EST_THOM" hidden="1">"c4011"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K" hidden="1">"c20384"</definedName>
    <definedName name="IQ_CIP" hidden="1">"c17551"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FS_AMORT_COST_FFIEC" hidden="1">"c20497"</definedName>
    <definedName name="IQ_CMBS_ISSUED_AFS_FAIR_VAL_FFIEC" hidden="1">"c20462"</definedName>
    <definedName name="IQ_CMBS_ISSUED_AVAIL_SALE_FFIEC" hidden="1">"c12800"</definedName>
    <definedName name="IQ_CMBS_ISSUED_FFIEC" hidden="1">"c12786"</definedName>
    <definedName name="IQ_CMBS_ISSUED_HTM_AMORT_COST_FFIEC" hidden="1">"c20445"</definedName>
    <definedName name="IQ_CMBS_ISSUED_HTM_FAIR_VAL_FFIEC" hidden="1">"c20480"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ID_NON_PER_DET_EST" hidden="1">"c13824"</definedName>
    <definedName name="IQ_CONTRIB_ID_NON_PER_DET_EST_THOM" hidden="1">"c13826"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RT" hidden="1">"c20427"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EST_CIQ" hidden="1">"c4802"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EST_CIQ" hidden="1">"c4805"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EST_CIQ" hidden="1">"c4806"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EST_CIQ" hidden="1">"c4810"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EST_CIQ" hidden="1">"c4814"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 hidden="1">"c16189"</definedName>
    <definedName name="IQ_DISTRIBUTABLE_CASH_SHARES_DILUTED" hidden="1">"c16190"</definedName>
    <definedName name="IQ_DISTRIBUTABLE_CASH_STANDARDIZED" hidden="1">"c20435"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AMOUNT_LIST" hidden="1">"c17417"</definedName>
    <definedName name="IQ_DIV_PAYMENT_DATE" hidden="1">"c2205"</definedName>
    <definedName name="IQ_DIV_PAYMENT_DATE_LIST" hidden="1">"c17418"</definedName>
    <definedName name="IQ_DIV_PAYMENT_TYPE" hidden="1">"c12752"</definedName>
    <definedName name="IQ_DIV_PAYMENT_TYPE_LIST" hidden="1">"c17419"</definedName>
    <definedName name="IQ_DIV_RECORD_DATE" hidden="1">"c2204"</definedName>
    <definedName name="IQ_DIV_RECORD_DATE_LIST" hidden="1">"c17420"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_COL" hidden="1">"c11709"</definedName>
    <definedName name="IQ_DPS_ACT_OR_EST_REUT" hidden="1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NOTE" hidden="1">"c17530"</definedName>
    <definedName name="IQ_DPS_DET_EST_NOTE_THOM" hidden="1">"c17582"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BOTTOM_UP_REUT" hidden="1">"c5501"</definedName>
    <definedName name="IQ_DPS_EST_DOWN_2MONTH" hidden="1">"c16345"</definedName>
    <definedName name="IQ_DPS_EST_DOWN_2MONTH_THOM" hidden="1">"c17209"</definedName>
    <definedName name="IQ_DPS_EST_DOWN_3MONTH" hidden="1">"c16349"</definedName>
    <definedName name="IQ_DPS_EST_DOWN_3MONTH_THOM" hidden="1">"c17213"</definedName>
    <definedName name="IQ_DPS_EST_DOWN_MONTH" hidden="1">"c16341"</definedName>
    <definedName name="IQ_DPS_EST_DOWN_MONTH_THOM" hidden="1">"c17205"</definedName>
    <definedName name="IQ_DPS_EST_NUM_ANALYSTS_2MONTH" hidden="1">"c16343"</definedName>
    <definedName name="IQ_DPS_EST_NUM_ANALYSTS_2MONTH_THOM" hidden="1">"c17207"</definedName>
    <definedName name="IQ_DPS_EST_NUM_ANALYSTS_3MONTH" hidden="1">"c16347"</definedName>
    <definedName name="IQ_DPS_EST_NUM_ANALYSTS_3MONTH_THOM" hidden="1">"c17211"</definedName>
    <definedName name="IQ_DPS_EST_NUM_ANALYSTS_MONTH" hidden="1">"c16339"</definedName>
    <definedName name="IQ_DPS_EST_NUM_ANALYSTS_MONTH_THOM" hidden="1">"c17203"</definedName>
    <definedName name="IQ_DPS_EST_REUT" hidden="1">"c3851"</definedName>
    <definedName name="IQ_DPS_EST_THOM" hidden="1">"c4013"</definedName>
    <definedName name="IQ_DPS_EST_TOTAL_REVISED_2MONTH" hidden="1">"c16346"</definedName>
    <definedName name="IQ_DPS_EST_TOTAL_REVISED_2MONTH_THOM" hidden="1">"c17210"</definedName>
    <definedName name="IQ_DPS_EST_TOTAL_REVISED_3MONTH" hidden="1">"c16350"</definedName>
    <definedName name="IQ_DPS_EST_TOTAL_REVISED_3MONTH_THOM" hidden="1">"c17214"</definedName>
    <definedName name="IQ_DPS_EST_TOTAL_REVISED_MONTH" hidden="1">"c16342"</definedName>
    <definedName name="IQ_DPS_EST_TOTAL_REVISED_MONTH_THOM" hidden="1">"c17206"</definedName>
    <definedName name="IQ_DPS_EST_UP_2MONTH" hidden="1">"c16344"</definedName>
    <definedName name="IQ_DPS_EST_UP_2MONTH_THOM" hidden="1">"c17208"</definedName>
    <definedName name="IQ_DPS_EST_UP_3MONTH" hidden="1">"c16348"</definedName>
    <definedName name="IQ_DPS_EST_UP_3MONTH_THOM" hidden="1">"c17212"</definedName>
    <definedName name="IQ_DPS_EST_UP_MONTH" hidden="1">"c16340"</definedName>
    <definedName name="IQ_DPS_EST_UP_MONTH_THOM" hidden="1">"c17204"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REUT" hidden="1">"c3853"</definedName>
    <definedName name="IQ_DPS_HIGH_EST_THOM" hidden="1">"c4015"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REUT" hidden="1">"c3854"</definedName>
    <definedName name="IQ_DPS_LOW_EST_THOM" hidden="1">"c4016"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_COL" hidden="1">"c11710"</definedName>
    <definedName name="IQ_EBIT_ACT_OR_EST_REUT" hidden="1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NOTE" hidden="1">"c17531"</definedName>
    <definedName name="IQ_EBIT_DET_EST_NOTE_THOM" hidden="1">"c17583"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DOWN_2MONTH" hidden="1">"c16357"</definedName>
    <definedName name="IQ_EBIT_EST_DOWN_2MONTH_THOM" hidden="1">"c17221"</definedName>
    <definedName name="IQ_EBIT_EST_DOWN_3MONTH" hidden="1">"c16361"</definedName>
    <definedName name="IQ_EBIT_EST_DOWN_3MONTH_THOM" hidden="1">"c17225"</definedName>
    <definedName name="IQ_EBIT_EST_DOWN_MONTH" hidden="1">"c16353"</definedName>
    <definedName name="IQ_EBIT_EST_DOWN_MONTH_THOM" hidden="1">"c17217"</definedName>
    <definedName name="IQ_EBIT_EST_NUM_ANALYSTS_2MONTH" hidden="1">"c16355"</definedName>
    <definedName name="IQ_EBIT_EST_NUM_ANALYSTS_2MONTH_THOM" hidden="1">"c17219"</definedName>
    <definedName name="IQ_EBIT_EST_NUM_ANALYSTS_3MONTH" hidden="1">"c16359"</definedName>
    <definedName name="IQ_EBIT_EST_NUM_ANALYSTS_3MONTH_THOM" hidden="1">"c17223"</definedName>
    <definedName name="IQ_EBIT_EST_NUM_ANALYSTS_MONTH" hidden="1">"c16351"</definedName>
    <definedName name="IQ_EBIT_EST_NUM_ANALYSTS_MONTH_THOM" hidden="1">"c17215"</definedName>
    <definedName name="IQ_EBIT_EST_REUT" hidden="1">"c5333"</definedName>
    <definedName name="IQ_EBIT_EST_THOM" hidden="1">"c5105"</definedName>
    <definedName name="IQ_EBIT_EST_TOTAL_REVISED_2MONTH" hidden="1">"c16358"</definedName>
    <definedName name="IQ_EBIT_EST_TOTAL_REVISED_2MONTH_THOM" hidden="1">"c17222"</definedName>
    <definedName name="IQ_EBIT_EST_TOTAL_REVISED_3MONTH" hidden="1">"c16362"</definedName>
    <definedName name="IQ_EBIT_EST_TOTAL_REVISED_3MONTH_THOM" hidden="1">"c17226"</definedName>
    <definedName name="IQ_EBIT_EST_TOTAL_REVISED_MONTH" hidden="1">"c16354"</definedName>
    <definedName name="IQ_EBIT_EST_TOTAL_REVISED_MONTH_THOM" hidden="1">"c17218"</definedName>
    <definedName name="IQ_EBIT_EST_UP_2MONTH" hidden="1">"c16356"</definedName>
    <definedName name="IQ_EBIT_EST_UP_2MONTH_THOM" hidden="1">"c17220"</definedName>
    <definedName name="IQ_EBIT_EST_UP_3MONTH" hidden="1">"c16360"</definedName>
    <definedName name="IQ_EBIT_EST_UP_3MONTH_THOM" hidden="1">"c17224"</definedName>
    <definedName name="IQ_EBIT_EST_UP_MONTH" hidden="1">"c16352"</definedName>
    <definedName name="IQ_EBIT_EST_UP_MONTH_THOM" hidden="1">"c17216"</definedName>
    <definedName name="IQ_EBIT_EXCL_SBC" hidden="1">"c3082"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_COL" hidden="1">"c11478"</definedName>
    <definedName name="IQ_EBIT_GW_EST" hidden="1">"c4305"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EST_THOM" hidden="1">"c5107"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REUT" hidden="1">"c5336"</definedName>
    <definedName name="IQ_EBIT_LOW_EST_THOM" hidden="1">"c5108"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EDIAN_EST" hidden="1">"c1682"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REUT" hidden="1">"c5462"</definedName>
    <definedName name="IQ_EBITDA_ACT_OR_EST_THOM" hidden="1">"c5300"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NOTE" hidden="1">"c17526"</definedName>
    <definedName name="IQ_EBITDA_DET_EST_NOTE_THOM" hidden="1">"c17579"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DOWN_2MONTH" hidden="1">"c16297"</definedName>
    <definedName name="IQ_EBITDA_EST_DOWN_2MONTH_CIQ" hidden="1">"c16621"</definedName>
    <definedName name="IQ_EBITDA_EST_DOWN_2MONTH_THOM" hidden="1">"c17161"</definedName>
    <definedName name="IQ_EBITDA_EST_DOWN_3MONTH" hidden="1">"c16301"</definedName>
    <definedName name="IQ_EBITDA_EST_DOWN_3MONTH_CIQ" hidden="1">"c16625"</definedName>
    <definedName name="IQ_EBITDA_EST_DOWN_3MONTH_THOM" hidden="1">"c17165"</definedName>
    <definedName name="IQ_EBITDA_EST_DOWN_MONTH" hidden="1">"c16293"</definedName>
    <definedName name="IQ_EBITDA_EST_DOWN_MONTH_CIQ" hidden="1">"c16617"</definedName>
    <definedName name="IQ_EBITDA_EST_DOWN_MONTH_THOM" hidden="1">"c17157"</definedName>
    <definedName name="IQ_EBITDA_EST_NOTE" hidden="1">"c17503"</definedName>
    <definedName name="IQ_EBITDA_EST_NOTE_CIQ" hidden="1">"c17456"</definedName>
    <definedName name="IQ_EBITDA_EST_NUM_ANALYSTS_2MONTH" hidden="1">"c16295"</definedName>
    <definedName name="IQ_EBITDA_EST_NUM_ANALYSTS_2MONTH_CIQ" hidden="1">"c16619"</definedName>
    <definedName name="IQ_EBITDA_EST_NUM_ANALYSTS_2MONTH_THOM" hidden="1">"c17159"</definedName>
    <definedName name="IQ_EBITDA_EST_NUM_ANALYSTS_3MONTH" hidden="1">"c16299"</definedName>
    <definedName name="IQ_EBITDA_EST_NUM_ANALYSTS_3MONTH_CIQ" hidden="1">"c16623"</definedName>
    <definedName name="IQ_EBITDA_EST_NUM_ANALYSTS_3MONTH_THOM" hidden="1">"c17163"</definedName>
    <definedName name="IQ_EBITDA_EST_NUM_ANALYSTS_MONTH" hidden="1">"c16291"</definedName>
    <definedName name="IQ_EBITDA_EST_NUM_ANALYSTS_MONTH_CIQ" hidden="1">"c16615"</definedName>
    <definedName name="IQ_EBITDA_EST_NUM_ANALYSTS_MONTH_THOM" hidden="1">"c17155"</definedName>
    <definedName name="IQ_EBITDA_EST_REUT" hidden="1">"c3640"</definedName>
    <definedName name="IQ_EBITDA_EST_THOM" hidden="1">"c3658"</definedName>
    <definedName name="IQ_EBITDA_EST_TOTAL_REVISED_2MONTH" hidden="1">"c16298"</definedName>
    <definedName name="IQ_EBITDA_EST_TOTAL_REVISED_2MONTH_CIQ" hidden="1">"c16622"</definedName>
    <definedName name="IQ_EBITDA_EST_TOTAL_REVISED_2MONTH_THOM" hidden="1">"c17162"</definedName>
    <definedName name="IQ_EBITDA_EST_TOTAL_REVISED_3MONTH" hidden="1">"c16302"</definedName>
    <definedName name="IQ_EBITDA_EST_TOTAL_REVISED_3MONTH_CIQ" hidden="1">"c16626"</definedName>
    <definedName name="IQ_EBITDA_EST_TOTAL_REVISED_3MONTH_THOM" hidden="1">"c17166"</definedName>
    <definedName name="IQ_EBITDA_EST_TOTAL_REVISED_MONTH" hidden="1">"c16294"</definedName>
    <definedName name="IQ_EBITDA_EST_TOTAL_REVISED_MONTH_CIQ" hidden="1">"c16618"</definedName>
    <definedName name="IQ_EBITDA_EST_TOTAL_REVISED_MONTH_THOM" hidden="1">"c17158"</definedName>
    <definedName name="IQ_EBITDA_EST_UP_2MONTH" hidden="1">"c16296"</definedName>
    <definedName name="IQ_EBITDA_EST_UP_2MONTH_CIQ" hidden="1">"c16620"</definedName>
    <definedName name="IQ_EBITDA_EST_UP_2MONTH_THOM" hidden="1">"c17160"</definedName>
    <definedName name="IQ_EBITDA_EST_UP_3MONTH" hidden="1">"c16300"</definedName>
    <definedName name="IQ_EBITDA_EST_UP_3MONTH_CIQ" hidden="1">"c16624"</definedName>
    <definedName name="IQ_EBITDA_EST_UP_3MONTH_THOM" hidden="1">"c17164"</definedName>
    <definedName name="IQ_EBITDA_EST_UP_MONTH" hidden="1">"c16292"</definedName>
    <definedName name="IQ_EBITDA_EST_UP_MONTH_CIQ" hidden="1">"c16616"</definedName>
    <definedName name="IQ_EBITDA_EST_UP_MONTH_THOM" hidden="1">"c17156"</definedName>
    <definedName name="IQ_EBITDA_EXCL_SBC" hidden="1">"c3081"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_CIQ" hidden="1">"c4870"</definedName>
    <definedName name="IQ_EBT_GAAP_GUIDANCE_CIQ_COL" hidden="1">"c11517"</definedName>
    <definedName name="IQ_EBT_GAAP_HIGH_GUIDANCE_CIQ" hidden="1">"c4586"</definedName>
    <definedName name="IQ_EBT_GAAP_HIGH_GUIDANCE_CIQ_COL" hidden="1">"c11235"</definedName>
    <definedName name="IQ_EBT_GAAP_LOW_GUIDANCE_CIQ" hidden="1">"c4626"</definedName>
    <definedName name="IQ_EBT_GAAP_LOW_GUIDANCE_CIQ_COL" hidden="1">"c11275"</definedName>
    <definedName name="IQ_EBT_GUIDANCE_CIQ" hidden="1">"c4871"</definedName>
    <definedName name="IQ_EBT_GUIDANCE_CIQ_COL" hidden="1">"c11518"</definedName>
    <definedName name="IQ_EBT_GW_GUIDANCE_CIQ" hidden="1">"c4872"</definedName>
    <definedName name="IQ_EBT_GW_GUIDANCE_CIQ_COL" hidden="1">"c11519"</definedName>
    <definedName name="IQ_EBT_GW_HIGH_GUIDANCE_CIQ" hidden="1">"c4587"</definedName>
    <definedName name="IQ_EBT_GW_HIGH_GUIDANCE_CIQ_COL" hidden="1">"c11236"</definedName>
    <definedName name="IQ_EBT_GW_LOW_GUIDANCE_CIQ" hidden="1">"c4627"</definedName>
    <definedName name="IQ_EBT_GW_LOW_GUIDANCE_CIQ_COL" hidden="1">"c11276"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"c16242"</definedName>
    <definedName name="IQ_ECS_NUM_SHAREHOLDERS_ABS" hidden="1">"c16243"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NOTE" hidden="1">"c17527"</definedName>
    <definedName name="IQ_EPS_DET_EST_NOTE_THOM" hidden="1">"c17580"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DOWN_2MONTH" hidden="1">"c16309"</definedName>
    <definedName name="IQ_EPS_EST_DOWN_2MONTH_CIQ" hidden="1">"c16633"</definedName>
    <definedName name="IQ_EPS_EST_DOWN_2MONTH_THOM" hidden="1">"c17173"</definedName>
    <definedName name="IQ_EPS_EST_DOWN_3MONTH" hidden="1">"c16313"</definedName>
    <definedName name="IQ_EPS_EST_DOWN_3MONTH_CIQ" hidden="1">"c16637"</definedName>
    <definedName name="IQ_EPS_EST_DOWN_3MONTH_THOM" hidden="1">"c17177"</definedName>
    <definedName name="IQ_EPS_EST_DOWN_MONTH" hidden="1">"c16305"</definedName>
    <definedName name="IQ_EPS_EST_DOWN_MONTH_CIQ" hidden="1">"c16629"</definedName>
    <definedName name="IQ_EPS_EST_DOWN_MONTH_THOM" hidden="1">"c17169"</definedName>
    <definedName name="IQ_EPS_EST_NOTE" hidden="1">"c17504"</definedName>
    <definedName name="IQ_EPS_EST_NOTE_CIQ" hidden="1">"c17457"</definedName>
    <definedName name="IQ_EPS_EST_NUM_ANALYSTS_2MONTH" hidden="1">"c16307"</definedName>
    <definedName name="IQ_EPS_EST_NUM_ANALYSTS_2MONTH_CIQ" hidden="1">"c16631"</definedName>
    <definedName name="IQ_EPS_EST_NUM_ANALYSTS_2MONTH_THOM" hidden="1">"c17171"</definedName>
    <definedName name="IQ_EPS_EST_NUM_ANALYSTS_3MONTH" hidden="1">"c16311"</definedName>
    <definedName name="IQ_EPS_EST_NUM_ANALYSTS_3MONTH_CIQ" hidden="1">"c16635"</definedName>
    <definedName name="IQ_EPS_EST_NUM_ANALYSTS_3MONTH_THOM" hidden="1">"c17175"</definedName>
    <definedName name="IQ_EPS_EST_NUM_ANALYSTS_MONTH" hidden="1">"c16303"</definedName>
    <definedName name="IQ_EPS_EST_NUM_ANALYSTS_MONTH_CIQ" hidden="1">"c16627"</definedName>
    <definedName name="IQ_EPS_EST_NUM_ANALYSTS_MONTH_THOM" hidden="1">"c17167"</definedName>
    <definedName name="IQ_EPS_EST_REUT" hidden="1">"c5453"</definedName>
    <definedName name="IQ_EPS_EST_THOM" hidden="1">"c5290"</definedName>
    <definedName name="IQ_EPS_EST_TOTAL_REVISED_2MONTH" hidden="1">"c16310"</definedName>
    <definedName name="IQ_EPS_EST_TOTAL_REVISED_2MONTH_CIQ" hidden="1">"c16634"</definedName>
    <definedName name="IQ_EPS_EST_TOTAL_REVISED_2MONTH_THOM" hidden="1">"c17174"</definedName>
    <definedName name="IQ_EPS_EST_TOTAL_REVISED_3MONTH" hidden="1">"c16314"</definedName>
    <definedName name="IQ_EPS_EST_TOTAL_REVISED_3MONTH_CIQ" hidden="1">"c16638"</definedName>
    <definedName name="IQ_EPS_EST_TOTAL_REVISED_3MONTH_THOM" hidden="1">"c17178"</definedName>
    <definedName name="IQ_EPS_EST_TOTAL_REVISED_MONTH" hidden="1">"c16306"</definedName>
    <definedName name="IQ_EPS_EST_TOTAL_REVISED_MONTH_CIQ" hidden="1">"c16630"</definedName>
    <definedName name="IQ_EPS_EST_TOTAL_REVISED_MONTH_THOM" hidden="1">"c17170"</definedName>
    <definedName name="IQ_EPS_EST_UP_2MONTH" hidden="1">"c16308"</definedName>
    <definedName name="IQ_EPS_EST_UP_2MONTH_CIQ" hidden="1">"c16632"</definedName>
    <definedName name="IQ_EPS_EST_UP_2MONTH_THOM" hidden="1">"c17172"</definedName>
    <definedName name="IQ_EPS_EST_UP_3MONTH" hidden="1">"c16312"</definedName>
    <definedName name="IQ_EPS_EST_UP_3MONTH_CIQ" hidden="1">"c16636"</definedName>
    <definedName name="IQ_EPS_EST_UP_3MONTH_THOM" hidden="1">"c17176"</definedName>
    <definedName name="IQ_EPS_EST_UP_MONTH" hidden="1">"c16304"</definedName>
    <definedName name="IQ_EPS_EST_UP_MONTH_CIQ" hidden="1">"c16628"</definedName>
    <definedName name="IQ_EPS_EST_UP_MONTH_THOM" hidden="1">"c17168"</definedName>
    <definedName name="IQ_EPS_EXCL_GUIDANCE_CIQ" hidden="1">"c4893"</definedName>
    <definedName name="IQ_EPS_EXCL_GUIDANCE_CIQ_COL" hidden="1">"c11540"</definedName>
    <definedName name="IQ_EPS_EXCL_HIGH_GUIDANCE_CIQ" hidden="1">"c4894"</definedName>
    <definedName name="IQ_EPS_EXCL_HIGH_GUIDANCE_CIQ_COL" hidden="1">"c11541"</definedName>
    <definedName name="IQ_EPS_EXCL_LOW_GUIDANCE_CIQ" hidden="1">"c4616"</definedName>
    <definedName name="IQ_EPS_EXCL_LOW_GUIDANCE_CIQ_COL" hidden="1">"c11265"</definedName>
    <definedName name="IQ_EPS_GAAP_GUIDANCE_CIQ" hidden="1">"c4895"</definedName>
    <definedName name="IQ_EPS_GAAP_GUIDANCE_CIQ_COL" hidden="1">"c11542"</definedName>
    <definedName name="IQ_EPS_GAAP_HIGH_GUIDANCE_CIQ" hidden="1">"c4896"</definedName>
    <definedName name="IQ_EPS_GAAP_HIGH_GUIDANCE_CIQ_COL" hidden="1">"c11543"</definedName>
    <definedName name="IQ_EPS_GAAP_LOW_GUIDANCE_CIQ" hidden="1">"c4617"</definedName>
    <definedName name="IQ_EPS_GAAP_LOW_GUIDANCE_CIQ_COL" hidden="1">"c11266"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NOTE" hidden="1">"c17538"</definedName>
    <definedName name="IQ_EPS_GW_DET_EST_NOTE_THOM" hidden="1">"c17587"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DOWN_2MONTH" hidden="1">"c16465"</definedName>
    <definedName name="IQ_EPS_GW_EST_DOWN_2MONTH_CIQ" hidden="1">"c16753"</definedName>
    <definedName name="IQ_EPS_GW_EST_DOWN_2MONTH_THOM" hidden="1">"c17293"</definedName>
    <definedName name="IQ_EPS_GW_EST_DOWN_3MONTH" hidden="1">"c16469"</definedName>
    <definedName name="IQ_EPS_GW_EST_DOWN_3MONTH_CIQ" hidden="1">"c16757"</definedName>
    <definedName name="IQ_EPS_GW_EST_DOWN_3MONTH_THOM" hidden="1">"c17297"</definedName>
    <definedName name="IQ_EPS_GW_EST_DOWN_MONTH" hidden="1">"c16461"</definedName>
    <definedName name="IQ_EPS_GW_EST_DOWN_MONTH_CIQ" hidden="1">"c16749"</definedName>
    <definedName name="IQ_EPS_GW_EST_DOWN_MONTH_THOM" hidden="1">"c17289"</definedName>
    <definedName name="IQ_EPS_GW_EST_NOTE" hidden="1">"c17524"</definedName>
    <definedName name="IQ_EPS_GW_EST_NOTE_CIQ" hidden="1">"c17477"</definedName>
    <definedName name="IQ_EPS_GW_EST_NUM_ANALYSTS_2MONTH" hidden="1">"c16463"</definedName>
    <definedName name="IQ_EPS_GW_EST_NUM_ANALYSTS_2MONTH_CIQ" hidden="1">"c16751"</definedName>
    <definedName name="IQ_EPS_GW_EST_NUM_ANALYSTS_2MONTH_THOM" hidden="1">"c17291"</definedName>
    <definedName name="IQ_EPS_GW_EST_NUM_ANALYSTS_3MONTH" hidden="1">"c16467"</definedName>
    <definedName name="IQ_EPS_GW_EST_NUM_ANALYSTS_3MONTH_CIQ" hidden="1">"c16755"</definedName>
    <definedName name="IQ_EPS_GW_EST_NUM_ANALYSTS_3MONTH_THOM" hidden="1">"c17295"</definedName>
    <definedName name="IQ_EPS_GW_EST_NUM_ANALYSTS_MONTH" hidden="1">"c16459"</definedName>
    <definedName name="IQ_EPS_GW_EST_NUM_ANALYSTS_MONTH_CIQ" hidden="1">"c16747"</definedName>
    <definedName name="IQ_EPS_GW_EST_NUM_ANALYSTS_MONTH_THOM" hidden="1">"c17287"</definedName>
    <definedName name="IQ_EPS_GW_EST_REUT" hidden="1">"c5389"</definedName>
    <definedName name="IQ_EPS_GW_EST_THOM" hidden="1">"c5133"</definedName>
    <definedName name="IQ_EPS_GW_EST_TOTAL_REVISED_2MONTH" hidden="1">"c16466"</definedName>
    <definedName name="IQ_EPS_GW_EST_TOTAL_REVISED_2MONTH_CIQ" hidden="1">"c16754"</definedName>
    <definedName name="IQ_EPS_GW_EST_TOTAL_REVISED_2MONTH_THOM" hidden="1">"c17294"</definedName>
    <definedName name="IQ_EPS_GW_EST_TOTAL_REVISED_3MONTH" hidden="1">"c16470"</definedName>
    <definedName name="IQ_EPS_GW_EST_TOTAL_REVISED_3MONTH_CIQ" hidden="1">"c16758"</definedName>
    <definedName name="IQ_EPS_GW_EST_TOTAL_REVISED_3MONTH_THOM" hidden="1">"c17298"</definedName>
    <definedName name="IQ_EPS_GW_EST_TOTAL_REVISED_MONTH" hidden="1">"c16462"</definedName>
    <definedName name="IQ_EPS_GW_EST_TOTAL_REVISED_MONTH_CIQ" hidden="1">"c16750"</definedName>
    <definedName name="IQ_EPS_GW_EST_TOTAL_REVISED_MONTH_THOM" hidden="1">"c17290"</definedName>
    <definedName name="IQ_EPS_GW_EST_UP_2MONTH" hidden="1">"c16464"</definedName>
    <definedName name="IQ_EPS_GW_EST_UP_2MONTH_CIQ" hidden="1">"c16752"</definedName>
    <definedName name="IQ_EPS_GW_EST_UP_2MONTH_THOM" hidden="1">"c17292"</definedName>
    <definedName name="IQ_EPS_GW_EST_UP_3MONTH" hidden="1">"c16468"</definedName>
    <definedName name="IQ_EPS_GW_EST_UP_3MONTH_CIQ" hidden="1">"c16756"</definedName>
    <definedName name="IQ_EPS_GW_EST_UP_3MONTH_THOM" hidden="1">"c17296"</definedName>
    <definedName name="IQ_EPS_GW_EST_UP_MONTH" hidden="1">"c16460"</definedName>
    <definedName name="IQ_EPS_GW_EST_UP_MONTH_CIQ" hidden="1">"c16748"</definedName>
    <definedName name="IQ_EPS_GW_EST_UP_MONTH_THOM" hidden="1">"c17288"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NOTE" hidden="1">"c17528"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DOWN_2MONTH" hidden="1">"c16597"</definedName>
    <definedName name="IQ_EPS_NORM_EST_DOWN_2MONTH_CIQ" hidden="1">"c16861"</definedName>
    <definedName name="IQ_EPS_NORM_EST_DOWN_3MONTH" hidden="1">"c16601"</definedName>
    <definedName name="IQ_EPS_NORM_EST_DOWN_3MONTH_CIQ" hidden="1">"c16865"</definedName>
    <definedName name="IQ_EPS_NORM_EST_DOWN_MONTH" hidden="1">"c16593"</definedName>
    <definedName name="IQ_EPS_NORM_EST_DOWN_MONTH_CIQ" hidden="1">"c16857"</definedName>
    <definedName name="IQ_EPS_NORM_EST_NOTE" hidden="1">"c17505"</definedName>
    <definedName name="IQ_EPS_NORM_EST_NOTE_CIQ" hidden="1">"c17458"</definedName>
    <definedName name="IQ_EPS_NORM_EST_NUM_ANALYSTS_2MONTH" hidden="1">"c16595"</definedName>
    <definedName name="IQ_EPS_NORM_EST_NUM_ANALYSTS_2MONTH_CIQ" hidden="1">"c16859"</definedName>
    <definedName name="IQ_EPS_NORM_EST_NUM_ANALYSTS_3MONTH" hidden="1">"c16599"</definedName>
    <definedName name="IQ_EPS_NORM_EST_NUM_ANALYSTS_3MONTH_CIQ" hidden="1">"c16863"</definedName>
    <definedName name="IQ_EPS_NORM_EST_NUM_ANALYSTS_MONTH" hidden="1">"c16591"</definedName>
    <definedName name="IQ_EPS_NORM_EST_NUM_ANALYSTS_MONTH_CIQ" hidden="1">"c16855"</definedName>
    <definedName name="IQ_EPS_NORM_EST_REUT" hidden="1">"c5326"</definedName>
    <definedName name="IQ_EPS_NORM_EST_TOTAL_REVISED_2MONTH" hidden="1">"c16598"</definedName>
    <definedName name="IQ_EPS_NORM_EST_TOTAL_REVISED_2MONTH_CIQ" hidden="1">"c16862"</definedName>
    <definedName name="IQ_EPS_NORM_EST_TOTAL_REVISED_3MONTH" hidden="1">"c16602"</definedName>
    <definedName name="IQ_EPS_NORM_EST_TOTAL_REVISED_3MONTH_CIQ" hidden="1">"c16866"</definedName>
    <definedName name="IQ_EPS_NORM_EST_TOTAL_REVISED_MONTH" hidden="1">"c16594"</definedName>
    <definedName name="IQ_EPS_NORM_EST_TOTAL_REVISED_MONTH_CIQ" hidden="1">"c16858"</definedName>
    <definedName name="IQ_EPS_NORM_EST_UP_2MONTH" hidden="1">"c16596"</definedName>
    <definedName name="IQ_EPS_NORM_EST_UP_2MONTH_CIQ" hidden="1">"c16860"</definedName>
    <definedName name="IQ_EPS_NORM_EST_UP_3MONTH" hidden="1">"c16600"</definedName>
    <definedName name="IQ_EPS_NORM_EST_UP_3MONTH_CIQ" hidden="1">"c16864"</definedName>
    <definedName name="IQ_EPS_NORM_EST_UP_MONTH" hidden="1">"c16592"</definedName>
    <definedName name="IQ_EPS_NORM_EST_UP_MONTH_CIQ" hidden="1">"c16856"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NOTE" hidden="1">"c17539"</definedName>
    <definedName name="IQ_EPS_REPORTED_DET_EST_NOTE_THOM" hidden="1">"c17588"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DOWN_2MONTH" hidden="1">"c16477"</definedName>
    <definedName name="IQ_EPS_REPORTED_EST_DOWN_2MONTH_CIQ" hidden="1">"c16765"</definedName>
    <definedName name="IQ_EPS_REPORTED_EST_DOWN_2MONTH_THOM" hidden="1">"c17305"</definedName>
    <definedName name="IQ_EPS_REPORTED_EST_DOWN_3MONTH" hidden="1">"c16481"</definedName>
    <definedName name="IQ_EPS_REPORTED_EST_DOWN_3MONTH_CIQ" hidden="1">"c16769"</definedName>
    <definedName name="IQ_EPS_REPORTED_EST_DOWN_3MONTH_THOM" hidden="1">"c17309"</definedName>
    <definedName name="IQ_EPS_REPORTED_EST_DOWN_MONTH" hidden="1">"c16473"</definedName>
    <definedName name="IQ_EPS_REPORTED_EST_DOWN_MONTH_CIQ" hidden="1">"c16761"</definedName>
    <definedName name="IQ_EPS_REPORTED_EST_DOWN_MONTH_THOM" hidden="1">"c17301"</definedName>
    <definedName name="IQ_EPS_REPORTED_EST_NOTE" hidden="1">"c17517"</definedName>
    <definedName name="IQ_EPS_REPORTED_EST_NOTE_CIQ" hidden="1">"c17470"</definedName>
    <definedName name="IQ_EPS_REPORTED_EST_NUM_ANALYSTS_2MONTH" hidden="1">"c16475"</definedName>
    <definedName name="IQ_EPS_REPORTED_EST_NUM_ANALYSTS_2MONTH_CIQ" hidden="1">"c16763"</definedName>
    <definedName name="IQ_EPS_REPORTED_EST_NUM_ANALYSTS_2MONTH_THOM" hidden="1">"c17303"</definedName>
    <definedName name="IQ_EPS_REPORTED_EST_NUM_ANALYSTS_3MONTH" hidden="1">"c16479"</definedName>
    <definedName name="IQ_EPS_REPORTED_EST_NUM_ANALYSTS_3MONTH_CIQ" hidden="1">"c16767"</definedName>
    <definedName name="IQ_EPS_REPORTED_EST_NUM_ANALYSTS_3MONTH_THOM" hidden="1">"c17307"</definedName>
    <definedName name="IQ_EPS_REPORTED_EST_NUM_ANALYSTS_MONTH" hidden="1">"c16471"</definedName>
    <definedName name="IQ_EPS_REPORTED_EST_NUM_ANALYSTS_MONTH_CIQ" hidden="1">"c16759"</definedName>
    <definedName name="IQ_EPS_REPORTED_EST_NUM_ANALYSTS_MONTH_THOM" hidden="1">"c17299"</definedName>
    <definedName name="IQ_EPS_REPORTED_EST_REUT" hidden="1">"c5396"</definedName>
    <definedName name="IQ_EPS_REPORTED_EST_THOM" hidden="1">"c5140"</definedName>
    <definedName name="IQ_EPS_REPORTED_EST_TOTAL_REVISED_2MONTH" hidden="1">"c16478"</definedName>
    <definedName name="IQ_EPS_REPORTED_EST_TOTAL_REVISED_2MONTH_CIQ" hidden="1">"c16766"</definedName>
    <definedName name="IQ_EPS_REPORTED_EST_TOTAL_REVISED_2MONTH_THOM" hidden="1">"c17306"</definedName>
    <definedName name="IQ_EPS_REPORTED_EST_TOTAL_REVISED_3MONTH" hidden="1">"c16482"</definedName>
    <definedName name="IQ_EPS_REPORTED_EST_TOTAL_REVISED_3MONTH_CIQ" hidden="1">"c16770"</definedName>
    <definedName name="IQ_EPS_REPORTED_EST_TOTAL_REVISED_3MONTH_THOM" hidden="1">"c17310"</definedName>
    <definedName name="IQ_EPS_REPORTED_EST_TOTAL_REVISED_MONTH" hidden="1">"c16474"</definedName>
    <definedName name="IQ_EPS_REPORTED_EST_TOTAL_REVISED_MONTH_CIQ" hidden="1">"c16762"</definedName>
    <definedName name="IQ_EPS_REPORTED_EST_TOTAL_REVISED_MONTH_THOM" hidden="1">"c17302"</definedName>
    <definedName name="IQ_EPS_REPORTED_EST_UP_2MONTH" hidden="1">"c16476"</definedName>
    <definedName name="IQ_EPS_REPORTED_EST_UP_2MONTH_CIQ" hidden="1">"c16764"</definedName>
    <definedName name="IQ_EPS_REPORTED_EST_UP_2MONTH_THOM" hidden="1">"c17304"</definedName>
    <definedName name="IQ_EPS_REPORTED_EST_UP_3MONTH" hidden="1">"c16480"</definedName>
    <definedName name="IQ_EPS_REPORTED_EST_UP_3MONTH_CIQ" hidden="1">"c16768"</definedName>
    <definedName name="IQ_EPS_REPORTED_EST_UP_3MONTH_THOM" hidden="1">"c17308"</definedName>
    <definedName name="IQ_EPS_REPORTED_EST_UP_MONTH" hidden="1">"c16472"</definedName>
    <definedName name="IQ_EPS_REPORTED_EST_UP_MONTH_CIQ" hidden="1">"c16760"</definedName>
    <definedName name="IQ_EPS_REPORTED_EST_UP_MONTH_THOM" hidden="1">"c17300"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AFS_AMORT_COST_FFIEC" hidden="1">"c20505"</definedName>
    <definedName name="IQ_EQUITY_SEC_FAIR_VALUE_AFS_FAIR_VAL_FFIEC" hidden="1">"c20470"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_COL" hidden="1">"c11568"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CIQ_COL" hidden="1">"c11579"</definedName>
    <definedName name="IQ_EST_ACT_FFO_REUT" hidden="1">"c3843"</definedName>
    <definedName name="IQ_EST_ACT_FFO_SHARE" hidden="1">"c1666"</definedName>
    <definedName name="IQ_EST_ACT_FFO_SHARE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DIFF_CIQ_COL" hidden="1">"c11213"</definedName>
    <definedName name="IQ_EST_CASH_FLOW_SURPRISE_PERCENT" hidden="1">"c4161"</definedName>
    <definedName name="IQ_EST_CASH_FLOW_SURPRISE_PERCENT_CIQ_COL" hidden="1">"c11222"</definedName>
    <definedName name="IQ_EST_CASH_OPER_DIFF" hidden="1">"c4162"</definedName>
    <definedName name="IQ_EST_CASH_OPER_DIFF_CIQ_COL" hidden="1">"c11223"</definedName>
    <definedName name="IQ_EST_CASH_OPER_SURPRISE_PERCENT" hidden="1">"c4248"</definedName>
    <definedName name="IQ_EST_CASH_OPER_SURPRISE_PERCENT_CIQ_COL" hidden="1">"c11421"</definedName>
    <definedName name="IQ_EST_CFPS_DIFF" hidden="1">"c1871"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_COL" hidden="1">"c11448"</definedName>
    <definedName name="IQ_EST_DISTRIBUTABLE_CASH_GROWTH_1YR" hidden="1">"c4413"</definedName>
    <definedName name="IQ_EST_DISTRIBUTABLE_CASH_GROWTH_1YR_CIQ_COL" hidden="1">"c11585"</definedName>
    <definedName name="IQ_EST_DISTRIBUTABLE_CASH_GROWTH_2YR" hidden="1">"c4414"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_COL" hidden="1">"c11588"</definedName>
    <definedName name="IQ_EST_DISTRIBUTABLE_CASH_SHARE_DIFF" hidden="1">"c4284"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_COL" hidden="1">"c11467"</definedName>
    <definedName name="IQ_EST_DPS_DIFF" hidden="1">"c1873"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_COL" hidden="1">"c11476"</definedName>
    <definedName name="IQ_EST_EBIT_GW_SURPRISE_PERCENT" hidden="1">"c4313"</definedName>
    <definedName name="IQ_EST_EBIT_GW_SURPRISE_PERCENT_CIQ_COL" hidden="1">"c11485"</definedName>
    <definedName name="IQ_EST_EBIT_SBC_DIFF" hidden="1">"c4314"</definedName>
    <definedName name="IQ_EST_EBIT_SBC_DIFF_CIQ_COL" hidden="1">"c11486"</definedName>
    <definedName name="IQ_EST_EBIT_SBC_GW_DIFF" hidden="1">"c4318"</definedName>
    <definedName name="IQ_EST_EBIT_SBC_GW_DIFF_CIQ_COL" hidden="1">"c11490"</definedName>
    <definedName name="IQ_EST_EBIT_SBC_GW_SURPRISE_PERCENT" hidden="1">"c4327"</definedName>
    <definedName name="IQ_EST_EBIT_SBC_GW_SURPRISE_PERCENT_CIQ_COL" hidden="1">"c11499"</definedName>
    <definedName name="IQ_EST_EBIT_SBC_SURPRISE_PERCENT" hidden="1">"c4333"</definedName>
    <definedName name="IQ_EST_EBIT_SBC_SURPRISE_PERCENT_CIQ_COL" hidden="1">"c11505"</definedName>
    <definedName name="IQ_EST_EBIT_SURPRISE_PERCENT" hidden="1">"c1876"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_COL" hidden="1">"c11507"</definedName>
    <definedName name="IQ_EST_EBITDA_SBC_SURPRISE_PERCENT" hidden="1">"c4344"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_COL" hidden="1">"c11520"</definedName>
    <definedName name="IQ_EST_EBT_SBC_GW_DIFF" hidden="1">"c4352"</definedName>
    <definedName name="IQ_EST_EBT_SBC_GW_DIFF_CIQ_COL" hidden="1">"c11524"</definedName>
    <definedName name="IQ_EST_EBT_SBC_GW_SURPRISE_PERCENT" hidden="1">"c4361"</definedName>
    <definedName name="IQ_EST_EBT_SBC_GW_SURPRISE_PERCENT_CIQ_COL" hidden="1">"c11533"</definedName>
    <definedName name="IQ_EST_EBT_SBC_SURPRISE_PERCENT" hidden="1">"c4367"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_COL" hidden="1">"c11546"</definedName>
    <definedName name="IQ_EST_EPS_SBC_GW_DIFF" hidden="1">"c4378"</definedName>
    <definedName name="IQ_EST_EPS_SBC_GW_DIFF_CIQ_COL" hidden="1">"c11550"</definedName>
    <definedName name="IQ_EST_EPS_SBC_GW_SURPRISE_PERCENT" hidden="1">"c4387"</definedName>
    <definedName name="IQ_EST_EPS_SBC_GW_SURPRISE_PERCENT_CIQ_COL" hidden="1">"c11559"</definedName>
    <definedName name="IQ_EST_EPS_SBC_SURPRISE_PERCENT" hidden="1">"c4393"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DIFF_CIQ_COL" hidden="1">"c11605"</definedName>
    <definedName name="IQ_EST_FFO_ADJ_GROWTH_1YR" hidden="1">"c4421"</definedName>
    <definedName name="IQ_EST_FFO_ADJ_GROWTH_1YR_CIQ_COL" hidden="1">"c11593"</definedName>
    <definedName name="IQ_EST_FFO_ADJ_GROWTH_2YR" hidden="1">"c4422"</definedName>
    <definedName name="IQ_EST_FFO_ADJ_GROWTH_2YR_CIQ_COL" hidden="1">"c11594"</definedName>
    <definedName name="IQ_EST_FFO_ADJ_GROWTH_Q_1YR" hidden="1">"c4423"</definedName>
    <definedName name="IQ_EST_FFO_ADJ_GROWTH_Q_1YR_CIQ_COL" hidden="1">"c11595"</definedName>
    <definedName name="IQ_EST_FFO_ADJ_SEQ_GROWTH_Q" hidden="1">"c4424"</definedName>
    <definedName name="IQ_EST_FFO_ADJ_SEQ_GROWTH_Q_CIQ_COL" hidden="1">"c11596"</definedName>
    <definedName name="IQ_EST_FFO_ADJ_SURPRISE_PERCENT" hidden="1">"c4442"</definedName>
    <definedName name="IQ_EST_FFO_ADJ_SURPRISE_PERCENT_CIQ_COL" hidden="1">"c11614"</definedName>
    <definedName name="IQ_EST_FFO_DIFF" hidden="1">"c1869"</definedName>
    <definedName name="IQ_EST_FFO_DIFF_CIQ_COL" hidden="1">"c11616"</definedName>
    <definedName name="IQ_EST_FFO_DIFF_REUT" hidden="1">"c3890"</definedName>
    <definedName name="IQ_EST_FFO_GROWTH_1YR" hidden="1">"c1770"</definedName>
    <definedName name="IQ_EST_FFO_GROWTH_1YR_CIQ_COL" hidden="1">"c11597"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_COL" hidden="1">"c11598"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_COL" hidden="1">"c11599"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_COL" hidden="1">"c11600"</definedName>
    <definedName name="IQ_EST_FFO_SEQ_GROWTH_Q_REUT" hidden="1">"c3877"</definedName>
    <definedName name="IQ_EST_FFO_SEQ_GROWTH_Q_THOM" hidden="1">"c5173"</definedName>
    <definedName name="IQ_EST_FFO_SHARE_DIFF" hidden="1">"c1869"</definedName>
    <definedName name="IQ_EST_FFO_SHARE_DIFF_THOM" hidden="1">"c5186"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URPRISE_PERCENT" hidden="1">"c1870"</definedName>
    <definedName name="IQ_EST_FFO_SHARE_SURPRISE_PERCENT_THOM" hidden="1">"c5187"</definedName>
    <definedName name="IQ_EST_FFO_SURPRISE_PERCENT" hidden="1">"c1870"</definedName>
    <definedName name="IQ_EST_FFO_SURPRISE_PERCENT_CIQ_COL" hidden="1">"c11629"</definedName>
    <definedName name="IQ_EST_FFO_SURPRISE_PERCENT_REUT" hidden="1">"c3891"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_COL" hidden="1">"c11632"</definedName>
    <definedName name="IQ_EST_MAINT_CAPEX_GROWTH_1YR" hidden="1">"c4429"</definedName>
    <definedName name="IQ_EST_MAINT_CAPEX_GROWTH_1YR_CIQ_COL" hidden="1">"c11601"</definedName>
    <definedName name="IQ_EST_MAINT_CAPEX_GROWTH_2YR" hidden="1">"c4430"</definedName>
    <definedName name="IQ_EST_MAINT_CAPEX_GROWTH_2YR_CIQ_COL" hidden="1">"c11602"</definedName>
    <definedName name="IQ_EST_MAINT_CAPEX_GROWTH_Q_1YR" hidden="1">"c4431"</definedName>
    <definedName name="IQ_EST_MAINT_CAPEX_GROWTH_Q_1YR_CIQ_COL" hidden="1">"c11603"</definedName>
    <definedName name="IQ_EST_MAINT_CAPEX_SEQ_GROWTH_Q" hidden="1">"c4432"</definedName>
    <definedName name="IQ_EST_MAINT_CAPEX_SEQ_GROWTH_Q_CIQ_COL" hidden="1">"c11604"</definedName>
    <definedName name="IQ_EST_MAINT_CAPEX_SURPRISE_PERCENT" hidden="1">"c4465"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EXT_EARNINGS_DATE" hidden="1">"c13591"</definedName>
    <definedName name="IQ_EST_NI_DIFF" hidden="1">"c1885"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DIFF_CIQ_COL" hidden="1">"c11657"</definedName>
    <definedName name="IQ_EST_NI_SBC_GW_DIFF" hidden="1">"c4476"</definedName>
    <definedName name="IQ_EST_NI_SBC_GW_DIFF_CIQ_COL" hidden="1">"c11661"</definedName>
    <definedName name="IQ_EST_NI_SBC_GW_SURPRISE_PERCENT" hidden="1">"c4485"</definedName>
    <definedName name="IQ_EST_NI_SBC_GW_SURPRISE_PERCENT_CIQ_COL" hidden="1">"c11670"</definedName>
    <definedName name="IQ_EST_NI_SBC_SURPRISE_PERCENT" hidden="1">"c4491"</definedName>
    <definedName name="IQ_EST_NI_SBC_SURPRISE_PERCENT_CIQ_COL" hidden="1">"c11676"</definedName>
    <definedName name="IQ_EST_NI_SURPRISE_PERCENT" hidden="1">"c1886"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ERIOD_ID" hidden="1">"c13923"</definedName>
    <definedName name="IQ_EST_PRE_TAX_DIFF" hidden="1">"c1879"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_COL" hidden="1">"c11700"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CODE_" hidden="1">"001"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CERT_NUMBER_FFIEC" hidden="1">"c20507"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EST" hidden="1">"c4434"</definedName>
    <definedName name="IQ_FFO_ADJ_EST_CIQ" hidden="1">"c4959"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EST_CIQ" hidden="1">"c4962"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EST_CIQ" hidden="1">"c4963"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 hidden="1">"c16186"</definedName>
    <definedName name="IQ_FFO_EST" hidden="1">"c418"</definedName>
    <definedName name="IQ_FFO_EST_CIQ" hidden="1">"c3668"</definedName>
    <definedName name="IQ_FFO_EST_CIQ_COL" hidden="1">"c11617"</definedName>
    <definedName name="IQ_FFO_EST_REUT" hidden="1">"c3837"</definedName>
    <definedName name="IQ_FFO_GUIDANCE_CIQ" hidden="1">"c4968"</definedName>
    <definedName name="IQ_FFO_GUIDANCE_CIQ_COL" hidden="1">"c11615"</definedName>
    <definedName name="IQ_FFO_HIGH_EST" hidden="1">"c419"</definedName>
    <definedName name="IQ_FFO_HIGH_EST_CIQ" hidden="1">"c3670"</definedName>
    <definedName name="IQ_FFO_HIGH_EST_CIQ_COL" hidden="1">"c11624"</definedName>
    <definedName name="IQ_FFO_HIGH_EST_REUT" hidden="1">"c3839"</definedName>
    <definedName name="IQ_FFO_HIGH_GUIDANCE_CIQ" hidden="1">"c4596"</definedName>
    <definedName name="IQ_FFO_HIGH_GUIDANCE_CIQ_COL" hidden="1">"c11245"</definedName>
    <definedName name="IQ_FFO_LOW_EST" hidden="1">"c420"</definedName>
    <definedName name="IQ_FFO_LOW_EST_CIQ" hidden="1">"c3671"</definedName>
    <definedName name="IQ_FFO_LOW_EST_CIQ_COL" hidden="1">"c11625"</definedName>
    <definedName name="IQ_FFO_LOW_EST_REUT" hidden="1">"c3840"</definedName>
    <definedName name="IQ_FFO_LOW_GUIDANCE_CIQ" hidden="1">"c4636"</definedName>
    <definedName name="IQ_FFO_LOW_GUIDANCE_CIQ_COL" hidden="1">"c11285"</definedName>
    <definedName name="IQ_FFO_MEDIAN_EST" hidden="1">"c1665"</definedName>
    <definedName name="IQ_FFO_MEDIAN_EST_CIQ" hidden="1">"c3669"</definedName>
    <definedName name="IQ_FFO_MEDIAN_EST_CIQ_COL" hidden="1">"c11626"</definedName>
    <definedName name="IQ_FFO_MEDIAN_EST_REUT" hidden="1">"c3838"</definedName>
    <definedName name="IQ_FFO_NUM_EST" hidden="1">"c421"</definedName>
    <definedName name="IQ_FFO_NUM_EST_CIQ" hidden="1">"c3672"</definedName>
    <definedName name="IQ_FFO_NUM_EST_CIQ_COL" hidden="1">"c11627"</definedName>
    <definedName name="IQ_FFO_NUM_EST_REUT" hidden="1">"c3841"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ACT_OR_EST_CIQ_COL" hidden="1">"c11618"</definedName>
    <definedName name="IQ_FFO_SHARE_EST" hidden="1">"c418"</definedName>
    <definedName name="IQ_FFO_SHARE_EST_DET_EST" hidden="1">"c12059"</definedName>
    <definedName name="IQ_FFO_SHARE_EST_DET_EST_CURRENCY" hidden="1">"c12466"</definedName>
    <definedName name="IQ_FFO_SHARE_EST_DET_EST_CURRENCY_THOM" hidden="1">"c12487"</definedName>
    <definedName name="IQ_FFO_SHARE_EST_DET_EST_DATE" hidden="1">"c12212"</definedName>
    <definedName name="IQ_FFO_SHARE_EST_DET_EST_DATE_THOM" hidden="1">"c12238"</definedName>
    <definedName name="IQ_FFO_SHARE_EST_DET_EST_INCL" hidden="1">"c12349"</definedName>
    <definedName name="IQ_FFO_SHARE_EST_DET_EST_INCL_THOM" hidden="1">"c12370"</definedName>
    <definedName name="IQ_FFO_SHARE_EST_DET_EST_ORIGIN" hidden="1">"c12722"</definedName>
    <definedName name="IQ_FFO_SHARE_EST_DET_EST_ORIGIN_THOM" hidden="1">"c12608"</definedName>
    <definedName name="IQ_FFO_SHARE_EST_DET_EST_THOM" hidden="1">"c12088"</definedName>
    <definedName name="IQ_FFO_SHARE_EST_DOWN_2MONTH" hidden="1">"c16585"</definedName>
    <definedName name="IQ_FFO_SHARE_EST_DOWN_2MONTH_THOM" hidden="1">"c17401"</definedName>
    <definedName name="IQ_FFO_SHARE_EST_DOWN_3MONTH" hidden="1">"c16589"</definedName>
    <definedName name="IQ_FFO_SHARE_EST_DOWN_3MONTH_THOM" hidden="1">"c17405"</definedName>
    <definedName name="IQ_FFO_SHARE_EST_DOWN_MONTH" hidden="1">"c16581"</definedName>
    <definedName name="IQ_FFO_SHARE_EST_DOWN_MONTH_THOM" hidden="1">"c17397"</definedName>
    <definedName name="IQ_FFO_SHARE_EST_NUM_ANALYSTS_2MONTH" hidden="1">"c16583"</definedName>
    <definedName name="IQ_FFO_SHARE_EST_NUM_ANALYSTS_2MONTH_THOM" hidden="1">"c17399"</definedName>
    <definedName name="IQ_FFO_SHARE_EST_NUM_ANALYSTS_3MONTH" hidden="1">"c16587"</definedName>
    <definedName name="IQ_FFO_SHARE_EST_NUM_ANALYSTS_3MONTH_THOM" hidden="1">"c17403"</definedName>
    <definedName name="IQ_FFO_SHARE_EST_NUM_ANALYSTS_MONTH" hidden="1">"c16579"</definedName>
    <definedName name="IQ_FFO_SHARE_EST_NUM_ANALYSTS_MONTH_THOM" hidden="1">"c17395"</definedName>
    <definedName name="IQ_FFO_SHARE_EST_THOM" hidden="1">"c3999"</definedName>
    <definedName name="IQ_FFO_SHARE_EST_TOTAL_REVISED_2MONTH" hidden="1">"c16586"</definedName>
    <definedName name="IQ_FFO_SHARE_EST_TOTAL_REVISED_2MONTH_THOM" hidden="1">"c17402"</definedName>
    <definedName name="IQ_FFO_SHARE_EST_TOTAL_REVISED_3MONTH" hidden="1">"c16590"</definedName>
    <definedName name="IQ_FFO_SHARE_EST_TOTAL_REVISED_3MONTH_THOM" hidden="1">"c17406"</definedName>
    <definedName name="IQ_FFO_SHARE_EST_TOTAL_REVISED_MONTH" hidden="1">"c16582"</definedName>
    <definedName name="IQ_FFO_SHARE_EST_TOTAL_REVISED_MONTH_THOM" hidden="1">"c17398"</definedName>
    <definedName name="IQ_FFO_SHARE_EST_UP_2MONTH" hidden="1">"c16584"</definedName>
    <definedName name="IQ_FFO_SHARE_EST_UP_2MONTH_THOM" hidden="1">"c17400"</definedName>
    <definedName name="IQ_FFO_SHARE_EST_UP_3MONTH" hidden="1">"c16588"</definedName>
    <definedName name="IQ_FFO_SHARE_EST_UP_3MONTH_THOM" hidden="1">"c17404"</definedName>
    <definedName name="IQ_FFO_SHARE_EST_UP_MONTH" hidden="1">"c16580"</definedName>
    <definedName name="IQ_FFO_SHARE_EST_UP_MONTH_THOM" hidden="1">"c17396"</definedName>
    <definedName name="IQ_FFO_SHARE_GUIDANCE_CIQ" hidden="1">"c4976"</definedName>
    <definedName name="IQ_FFO_SHARE_GUIDANCE_CIQ_COL" hidden="1">"c11623"</definedName>
    <definedName name="IQ_FFO_SHARE_HIGH_EST" hidden="1">"c419"</definedName>
    <definedName name="IQ_FFO_SHARE_HIGH_EST_THOM" hidden="1">"c4001"</definedName>
    <definedName name="IQ_FFO_SHARE_HIGH_GUIDANCE_CIQ" hidden="1">"c4615"</definedName>
    <definedName name="IQ_FFO_SHARE_HIGH_GUIDANCE_CIQ_COL" hidden="1">"c11264"</definedName>
    <definedName name="IQ_FFO_SHARE_LOW_EST" hidden="1">"c420"</definedName>
    <definedName name="IQ_FFO_SHARE_LOW_EST_THOM" hidden="1">"c4002"</definedName>
    <definedName name="IQ_FFO_SHARE_LOW_GUIDANCE_CIQ" hidden="1">"c4655"</definedName>
    <definedName name="IQ_FFO_SHARE_LOW_GUIDANCE_CIQ_COL" hidden="1">"c11304"</definedName>
    <definedName name="IQ_FFO_SHARE_MEDIAN_EST" hidden="1">"c1665"</definedName>
    <definedName name="IQ_FFO_SHARE_MEDIAN_EST_THOM" hidden="1">"c4000"</definedName>
    <definedName name="IQ_FFO_SHARE_NUM_EST" hidden="1">"c421"</definedName>
    <definedName name="IQ_FFO_SHARE_NUM_EST_THOM" hidden="1">"c4003"</definedName>
    <definedName name="IQ_FFO_SHARE_STDDEV_EST" hidden="1">"c422"</definedName>
    <definedName name="IQ_FFO_SHARE_STDDEV_EST_THOM" hidden="1">"c4004"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" hidden="1">"c3673"</definedName>
    <definedName name="IQ_FFO_STDDEV_EST_CIQ_COL" hidden="1">"c11628"</definedName>
    <definedName name="IQ_FFO_STDDEV_EST_REUT" hidden="1">"c3842"</definedName>
    <definedName name="IQ_FFO_TOTAL_REVENUE" hidden="1">"c16060"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ARCHITECTURE" hidden="1">"c20386"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" hidden="1">"c17421"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 hidden="1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COMBINED_RATIO" hidden="1">"c2781"</definedName>
    <definedName name="IQ_GAAP_COMBINED_RATIO_EXCL_CL" hidden="1">"c2782"</definedName>
    <definedName name="IQ_GAAP_EST_CIQ" hidden="1">"c13924"</definedName>
    <definedName name="IQ_GAAP_EXPENSE_RATIO" hidden="1">"c2780"</definedName>
    <definedName name="IQ_GAAP_IS" hidden="1">"c6194"</definedName>
    <definedName name="IQ_GAAP_LOSS" hidden="1">"c2779"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NOTE_THOM" hidden="1">"c17595"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DOWN_2MONTH" hidden="1">"c16381"</definedName>
    <definedName name="IQ_GROSS_MARGIN_EST_DOWN_2MONTH_THOM" hidden="1">"c17245"</definedName>
    <definedName name="IQ_GROSS_MARGIN_EST_DOWN_3MONTH" hidden="1">"c16385"</definedName>
    <definedName name="IQ_GROSS_MARGIN_EST_DOWN_3MONTH_THOM" hidden="1">"c17249"</definedName>
    <definedName name="IQ_GROSS_MARGIN_EST_DOWN_MONTH" hidden="1">"c16377"</definedName>
    <definedName name="IQ_GROSS_MARGIN_EST_DOWN_MONTH_THOM" hidden="1">"c17241"</definedName>
    <definedName name="IQ_GROSS_MARGIN_EST_NUM_ANALYSTS_2MONTH" hidden="1">"c16379"</definedName>
    <definedName name="IQ_GROSS_MARGIN_EST_NUM_ANALYSTS_2MONTH_THOM" hidden="1">"c17243"</definedName>
    <definedName name="IQ_GROSS_MARGIN_EST_NUM_ANALYSTS_3MONTH" hidden="1">"c16383"</definedName>
    <definedName name="IQ_GROSS_MARGIN_EST_NUM_ANALYSTS_3MONTH_THOM" hidden="1">"c17247"</definedName>
    <definedName name="IQ_GROSS_MARGIN_EST_NUM_ANALYSTS_MONTH" hidden="1">"c16375"</definedName>
    <definedName name="IQ_GROSS_MARGIN_EST_NUM_ANALYSTS_MONTH_THOM" hidden="1">"c17239"</definedName>
    <definedName name="IQ_GROSS_MARGIN_EST_THOM" hidden="1">"c5555"</definedName>
    <definedName name="IQ_GROSS_MARGIN_EST_TOTAL_REVISED_2MONTH" hidden="1">"c16382"</definedName>
    <definedName name="IQ_GROSS_MARGIN_EST_TOTAL_REVISED_2MONTH_THOM" hidden="1">"c17246"</definedName>
    <definedName name="IQ_GROSS_MARGIN_EST_TOTAL_REVISED_3MONTH" hidden="1">"c16386"</definedName>
    <definedName name="IQ_GROSS_MARGIN_EST_TOTAL_REVISED_3MONTH_THOM" hidden="1">"c17250"</definedName>
    <definedName name="IQ_GROSS_MARGIN_EST_TOTAL_REVISED_MONTH" hidden="1">"c16378"</definedName>
    <definedName name="IQ_GROSS_MARGIN_EST_TOTAL_REVISED_MONTH_THOM" hidden="1">"c17242"</definedName>
    <definedName name="IQ_GROSS_MARGIN_EST_UP_2MONTH" hidden="1">"c16380"</definedName>
    <definedName name="IQ_GROSS_MARGIN_EST_UP_2MONTH_THOM" hidden="1">"c17244"</definedName>
    <definedName name="IQ_GROSS_MARGIN_EST_UP_3MONTH" hidden="1">"c16384"</definedName>
    <definedName name="IQ_GROSS_MARGIN_EST_UP_3MONTH_THOM" hidden="1">"c17248"</definedName>
    <definedName name="IQ_GROSS_MARGIN_EST_UP_MONTH" hidden="1">"c16376"</definedName>
    <definedName name="IQ_GROSS_MARGIN_EST_UP_MONTH_THOM" hidden="1">"c17240"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AVAIL_SALE_FFIEC" hidden="1">"c15265"</definedName>
    <definedName name="IQ_HYBRID_STRUCTURED_PRODUCTS_FFIEC" hidden="1">"c15262"</definedName>
    <definedName name="IQ_HYBRID_STRUCTURED_PRODUCTS_HTM_AMORT_COST_FFIEC" hidden="1">"c20450"</definedName>
    <definedName name="IQ_HYBRID_STRUCTURED_PRODUCTS_HTM_FAIR_VAL_FFIEC" hidden="1">"c20485"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HOLD_IMPROVEMENT" hidden="1">"c17549"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OTHER_ISSUED_FNMA_OTHERS_AVAIL_SALE_FFIEC" hidden="1">"c12799"</definedName>
    <definedName name="IQ_MBS_OTHER_ISSUED_FNMA_OTHERS_FFIEC" hidden="1">"c12785"</definedName>
    <definedName name="IQ_MBS_PASS_THROUGH_FNMA_AFS_AMORT_COST_FFIEC" hidden="1">"c20494"</definedName>
    <definedName name="IQ_MBS_PASS_THROUGH_FNMA_AFS_FAIR_VAL_FFIEC" hidden="1">"c20459"</definedName>
    <definedName name="IQ_MBS_PASS_THROUGH_FNMA_AVAIL_SALE_FFIEC" hidden="1">"c12797"</definedName>
    <definedName name="IQ_MBS_PASS_THROUGH_FNMA_FFIEC" hidden="1">"c12783"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AVAIL_SALE_FFIEC" hidden="1">"c12796"</definedName>
    <definedName name="IQ_MBS_PASS_THROUGH_GNMA_FFIEC" hidden="1">"c12782"</definedName>
    <definedName name="IQ_MBS_PASS_THROUGH_GNMA_HTM_AMORT_COST_FFIEC" hidden="1">"c20441"</definedName>
    <definedName name="IQ_MBS_PASS_THROUGH_GNMA_HTM_FAIR_VAL_FFIEC" hidden="1">"c20476"</definedName>
    <definedName name="IQ_MBS_PASS_THROUGH_ISSUED_FNMA_GNMA_TRADING_DOM_FFIEC" hidden="1">"c12921"</definedName>
    <definedName name="IQ_MBS_PASS_THROUGH_OTHER_AFS_AMORT_COST_FFIEC" hidden="1">"c20495"</definedName>
    <definedName name="IQ_MBS_PASS_THROUGH_OTHER_AFS_FAIR_VAL_FFIEC" hidden="1">"c20460"</definedName>
    <definedName name="IQ_MBS_PASS_THROUGH_OTHER_AVAIL_SALE_FFIEC" hidden="1">"c12798"</definedName>
    <definedName name="IQ_MBS_PASS_THROUGH_OTHER_FFIEC" hidden="1">"c12784"</definedName>
    <definedName name="IQ_MBS_PASS_THROUGH_OTHER_HTM_AMORT_COST_FFIEC" hidden="1">"c20443"</definedName>
    <definedName name="IQ_MBS_PASS_THROUGH_OTHER_HTM_FAIR_VAL_FFIEC" hidden="1">"c20478"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LIST" hidden="1">"c19092"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NAMES_REVISION_DATE_" hidden="1">41177.6341666667</definedName>
    <definedName name="IQ_NAMES_REVISION_DATE__1" hidden="1">42008.4503472222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TURAL_RESOURCES_COST" hidden="1">"c17550"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NOTE_THOM" hidden="1">"c17597"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DOWN_2MONTH" hidden="1">"c16501"</definedName>
    <definedName name="IQ_NAV_EST_DOWN_2MONTH_THOM" hidden="1">"c17329"</definedName>
    <definedName name="IQ_NAV_EST_DOWN_3MONTH" hidden="1">"c16505"</definedName>
    <definedName name="IQ_NAV_EST_DOWN_3MONTH_THOM" hidden="1">"c17333"</definedName>
    <definedName name="IQ_NAV_EST_DOWN_MONTH" hidden="1">"c16497"</definedName>
    <definedName name="IQ_NAV_EST_DOWN_MONTH_THOM" hidden="1">"c17325"</definedName>
    <definedName name="IQ_NAV_EST_NUM_ANALYSTS_2MONTH" hidden="1">"c16499"</definedName>
    <definedName name="IQ_NAV_EST_NUM_ANALYSTS_2MONTH_THOM" hidden="1">"c17327"</definedName>
    <definedName name="IQ_NAV_EST_NUM_ANALYSTS_3MONTH" hidden="1">"c16503"</definedName>
    <definedName name="IQ_NAV_EST_NUM_ANALYSTS_3MONTH_THOM" hidden="1">"c17331"</definedName>
    <definedName name="IQ_NAV_EST_NUM_ANALYSTS_MONTH" hidden="1">"c16495"</definedName>
    <definedName name="IQ_NAV_EST_NUM_ANALYSTS_MONTH_THOM" hidden="1">"c17323"</definedName>
    <definedName name="IQ_NAV_EST_THOM" hidden="1">"c5601"</definedName>
    <definedName name="IQ_NAV_EST_TOTAL_REVISED_2MONTH" hidden="1">"c16502"</definedName>
    <definedName name="IQ_NAV_EST_TOTAL_REVISED_2MONTH_THOM" hidden="1">"c17330"</definedName>
    <definedName name="IQ_NAV_EST_TOTAL_REVISED_3MONTH" hidden="1">"c16506"</definedName>
    <definedName name="IQ_NAV_EST_TOTAL_REVISED_3MONTH_THOM" hidden="1">"c17334"</definedName>
    <definedName name="IQ_NAV_EST_TOTAL_REVISED_MONTH" hidden="1">"c16498"</definedName>
    <definedName name="IQ_NAV_EST_TOTAL_REVISED_MONTH_THOM" hidden="1">"c17326"</definedName>
    <definedName name="IQ_NAV_EST_UP_2MONTH" hidden="1">"c16500"</definedName>
    <definedName name="IQ_NAV_EST_UP_2MONTH_THOM" hidden="1">"c17328"</definedName>
    <definedName name="IQ_NAV_EST_UP_3MONTH" hidden="1">"c16504"</definedName>
    <definedName name="IQ_NAV_EST_UP_3MONTH_THOM" hidden="1">"c17332"</definedName>
    <definedName name="IQ_NAV_EST_UP_MONTH" hidden="1">"c16496"</definedName>
    <definedName name="IQ_NAV_EST_UP_MONTH_THOM" hidden="1">"c17324"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 hidden="1">"c15996"</definedName>
    <definedName name="IQ_NAV_SHARE_ACT_OR_EST" hidden="1">"c2225"</definedName>
    <definedName name="IQ_NAV_SHARE_ACT_OR_EST_REUT" hidden="1">"c5623"</definedName>
    <definedName name="IQ_NAV_SHARE_DET_EST_NOTE" hidden="1">"c17540"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EST_DOWN_2MONTH" hidden="1">"c16561"</definedName>
    <definedName name="IQ_NAV_SHARE_EST_DOWN_3MONTH" hidden="1">"c16565"</definedName>
    <definedName name="IQ_NAV_SHARE_EST_DOWN_MONTH" hidden="1">"c16557"</definedName>
    <definedName name="IQ_NAV_SHARE_EST_NOTE" hidden="1">"c17522"</definedName>
    <definedName name="IQ_NAV_SHARE_EST_NOTE_CIQ" hidden="1">"c17475"</definedName>
    <definedName name="IQ_NAV_SHARE_EST_NUM_ANALYSTS_2MONTH" hidden="1">"c16559"</definedName>
    <definedName name="IQ_NAV_SHARE_EST_NUM_ANALYSTS_3MONTH" hidden="1">"c16563"</definedName>
    <definedName name="IQ_NAV_SHARE_EST_NUM_ANALYSTS_MONTH" hidden="1">"c16555"</definedName>
    <definedName name="IQ_NAV_SHARE_EST_REUT" hidden="1">"c5617"</definedName>
    <definedName name="IQ_NAV_SHARE_EST_TOTAL_REVISED_2MONTH" hidden="1">"c16562"</definedName>
    <definedName name="IQ_NAV_SHARE_EST_TOTAL_REVISED_3MONTH" hidden="1">"c16566"</definedName>
    <definedName name="IQ_NAV_SHARE_EST_TOTAL_REVISED_MONTH" hidden="1">"c16558"</definedName>
    <definedName name="IQ_NAV_SHARE_EST_UP_2MONTH" hidden="1">"c16560"</definedName>
    <definedName name="IQ_NAV_SHARE_EST_UP_3MONTH" hidden="1">"c16564"</definedName>
    <definedName name="IQ_NAV_SHARE_EST_UP_MONTH" hidden="1">"c16556"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_COL" hidden="1">"c11717"</definedName>
    <definedName name="IQ_NET_DEBT_ACT_OR_EST_REUT" hidden="1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NOTE" hidden="1">"c17541"</definedName>
    <definedName name="IQ_NET_DEBT_DET_EST_NOTE_THOM" hidden="1">"c17589"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DOWN_2MONTH" hidden="1">"c16513"</definedName>
    <definedName name="IQ_NET_DEBT_EST_DOWN_2MONTH_THOM" hidden="1">"c17341"</definedName>
    <definedName name="IQ_NET_DEBT_EST_DOWN_3MONTH" hidden="1">"c16517"</definedName>
    <definedName name="IQ_NET_DEBT_EST_DOWN_3MONTH_THOM" hidden="1">"c17345"</definedName>
    <definedName name="IQ_NET_DEBT_EST_DOWN_MONTH" hidden="1">"c16509"</definedName>
    <definedName name="IQ_NET_DEBT_EST_DOWN_MONTH_THOM" hidden="1">"c17337"</definedName>
    <definedName name="IQ_NET_DEBT_EST_NUM_ANALYSTS_2MONTH" hidden="1">"c16511"</definedName>
    <definedName name="IQ_NET_DEBT_EST_NUM_ANALYSTS_2MONTH_THOM" hidden="1">"c17339"</definedName>
    <definedName name="IQ_NET_DEBT_EST_NUM_ANALYSTS_3MONTH" hidden="1">"c16515"</definedName>
    <definedName name="IQ_NET_DEBT_EST_NUM_ANALYSTS_3MONTH_THOM" hidden="1">"c17343"</definedName>
    <definedName name="IQ_NET_DEBT_EST_NUM_ANALYSTS_MONTH" hidden="1">"c16507"</definedName>
    <definedName name="IQ_NET_DEBT_EST_NUM_ANALYSTS_MONTH_THOM" hidden="1">"c17335"</definedName>
    <definedName name="IQ_NET_DEBT_EST_REUT" hidden="1">"c3976"</definedName>
    <definedName name="IQ_NET_DEBT_EST_THOM" hidden="1">"c4027"</definedName>
    <definedName name="IQ_NET_DEBT_EST_TOTAL_REVISED_2MONTH" hidden="1">"c16514"</definedName>
    <definedName name="IQ_NET_DEBT_EST_TOTAL_REVISED_2MONTH_THOM" hidden="1">"c17342"</definedName>
    <definedName name="IQ_NET_DEBT_EST_TOTAL_REVISED_3MONTH" hidden="1">"c16518"</definedName>
    <definedName name="IQ_NET_DEBT_EST_TOTAL_REVISED_3MONTH_THOM" hidden="1">"c17346"</definedName>
    <definedName name="IQ_NET_DEBT_EST_TOTAL_REVISED_MONTH" hidden="1">"c16510"</definedName>
    <definedName name="IQ_NET_DEBT_EST_TOTAL_REVISED_MONTH_THOM" hidden="1">"c17338"</definedName>
    <definedName name="IQ_NET_DEBT_EST_UP_2MONTH" hidden="1">"c16512"</definedName>
    <definedName name="IQ_NET_DEBT_EST_UP_2MONTH_THOM" hidden="1">"c17340"</definedName>
    <definedName name="IQ_NET_DEBT_EST_UP_3MONTH" hidden="1">"c16516"</definedName>
    <definedName name="IQ_NET_DEBT_EST_UP_3MONTH_THOM" hidden="1">"c17344"</definedName>
    <definedName name="IQ_NET_DEBT_EST_UP_MONTH" hidden="1">"c16508"</definedName>
    <definedName name="IQ_NET_DEBT_EST_UP_MONTH_THOM" hidden="1">"c17336"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REUT" hidden="1">"c3978"</definedName>
    <definedName name="IQ_NET_DEBT_HIGH_EST_THOM" hidden="1">"c4029"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EST_THOM" hidden="1">"c4030"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EW_CLIENT_ASSETS" hidden="1">"c20430"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XDIV_DATE" hidden="1">"c17411"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_COL" hidden="1">"c11712"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NOTE" hidden="1">"c17533"</definedName>
    <definedName name="IQ_NI_DET_EST_NOTE_THOM" hidden="1">"c17585"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DOWN_2MONTH" hidden="1">"c16429"</definedName>
    <definedName name="IQ_NI_EST_DOWN_2MONTH_THOM" hidden="1">"c17269"</definedName>
    <definedName name="IQ_NI_EST_DOWN_3MONTH" hidden="1">"c16433"</definedName>
    <definedName name="IQ_NI_EST_DOWN_3MONTH_THOM" hidden="1">"c17273"</definedName>
    <definedName name="IQ_NI_EST_DOWN_MONTH" hidden="1">"c16425"</definedName>
    <definedName name="IQ_NI_EST_DOWN_MONTH_THOM" hidden="1">"c17265"</definedName>
    <definedName name="IQ_NI_EST_NUM_ANALYSTS_2MONTH" hidden="1">"c16427"</definedName>
    <definedName name="IQ_NI_EST_NUM_ANALYSTS_2MONTH_THOM" hidden="1">"c17267"</definedName>
    <definedName name="IQ_NI_EST_NUM_ANALYSTS_3MONTH" hidden="1">"c16431"</definedName>
    <definedName name="IQ_NI_EST_NUM_ANALYSTS_3MONTH_THOM" hidden="1">"c17271"</definedName>
    <definedName name="IQ_NI_EST_NUM_ANALYSTS_MONTH" hidden="1">"c16423"</definedName>
    <definedName name="IQ_NI_EST_NUM_ANALYSTS_MONTH_THOM" hidden="1">"c17263"</definedName>
    <definedName name="IQ_NI_EST_REUT" hidden="1">"c5368"</definedName>
    <definedName name="IQ_NI_EST_THOM" hidden="1">"c5126"</definedName>
    <definedName name="IQ_NI_EST_TOTAL_REVISED_2MONTH" hidden="1">"c16430"</definedName>
    <definedName name="IQ_NI_EST_TOTAL_REVISED_2MONTH_THOM" hidden="1">"c17270"</definedName>
    <definedName name="IQ_NI_EST_TOTAL_REVISED_3MONTH" hidden="1">"c16434"</definedName>
    <definedName name="IQ_NI_EST_TOTAL_REVISED_3MONTH_THOM" hidden="1">"c17274"</definedName>
    <definedName name="IQ_NI_EST_TOTAL_REVISED_MONTH" hidden="1">"c16426"</definedName>
    <definedName name="IQ_NI_EST_TOTAL_REVISED_MONTH_THOM" hidden="1">"c17266"</definedName>
    <definedName name="IQ_NI_EST_UP_2MONTH" hidden="1">"c16428"</definedName>
    <definedName name="IQ_NI_EST_UP_2MONTH_THOM" hidden="1">"c17268"</definedName>
    <definedName name="IQ_NI_EST_UP_3MONTH" hidden="1">"c16432"</definedName>
    <definedName name="IQ_NI_EST_UP_3MONTH_THOM" hidden="1">"c17272"</definedName>
    <definedName name="IQ_NI_EST_UP_MONTH" hidden="1">"c16424"</definedName>
    <definedName name="IQ_NI_EST_UP_MONTH_THOM" hidden="1">"c17264"</definedName>
    <definedName name="IQ_NI_FFIEC" hidden="1">"c13034"</definedName>
    <definedName name="IQ_NI_GAAP_GUIDANCE_CIQ" hidden="1">"c5008"</definedName>
    <definedName name="IQ_NI_GAAP_GUIDANCE_CIQ_COL" hidden="1">"c11655"</definedName>
    <definedName name="IQ_NI_GAAP_HIGH_GUIDANCE_CIQ" hidden="1">"c4589"</definedName>
    <definedName name="IQ_NI_GAAP_HIGH_GUIDANCE_CIQ_COL" hidden="1">"c11238"</definedName>
    <definedName name="IQ_NI_GAAP_LOW_GUIDANCE_CIQ" hidden="1">"c4629"</definedName>
    <definedName name="IQ_NI_GAAP_LOW_GUIDANCE_CIQ_COL" hidden="1">"c11278"</definedName>
    <definedName name="IQ_NI_GUIDANCE_CIQ" hidden="1">"c5007"</definedName>
    <definedName name="IQ_NI_GUIDANCE_CIQ_COL" hidden="1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DET_EST_INCL_THOM" hidden="1">"c17599"</definedName>
    <definedName name="IQ_NI_GW_DET_EST_NOTE" hidden="1">"c17532"</definedName>
    <definedName name="IQ_NI_GW_DET_EST_NOTE_THOM" hidden="1">"c17584"</definedName>
    <definedName name="IQ_NI_GW_EST" hidden="1">"c1723"</definedName>
    <definedName name="IQ_NI_GW_EST_DOWN_2MONTH" hidden="1">"c16453"</definedName>
    <definedName name="IQ_NI_GW_EST_DOWN_2MONTH_THOM" hidden="1">"c17281"</definedName>
    <definedName name="IQ_NI_GW_EST_DOWN_3MONTH" hidden="1">"c16457"</definedName>
    <definedName name="IQ_NI_GW_EST_DOWN_3MONTH_THOM" hidden="1">"c17285"</definedName>
    <definedName name="IQ_NI_GW_EST_DOWN_MONTH" hidden="1">"c16449"</definedName>
    <definedName name="IQ_NI_GW_EST_DOWN_MONTH_THOM" hidden="1">"c17277"</definedName>
    <definedName name="IQ_NI_GW_EST_NUM_ANALYSTS_2MONTH" hidden="1">"c16451"</definedName>
    <definedName name="IQ_NI_GW_EST_NUM_ANALYSTS_2MONTH_THOM" hidden="1">"c17279"</definedName>
    <definedName name="IQ_NI_GW_EST_NUM_ANALYSTS_3MONTH" hidden="1">"c16455"</definedName>
    <definedName name="IQ_NI_GW_EST_NUM_ANALYSTS_3MONTH_THOM" hidden="1">"c17283"</definedName>
    <definedName name="IQ_NI_GW_EST_NUM_ANALYSTS_MONTH" hidden="1">"c16447"</definedName>
    <definedName name="IQ_NI_GW_EST_NUM_ANALYSTS_MONTH_THOM" hidden="1">"c17275"</definedName>
    <definedName name="IQ_NI_GW_EST_REUT" hidden="1">"c5375"</definedName>
    <definedName name="IQ_NI_GW_EST_TOTAL_REVISED_2MONTH" hidden="1">"c16454"</definedName>
    <definedName name="IQ_NI_GW_EST_TOTAL_REVISED_2MONTH_THOM" hidden="1">"c17282"</definedName>
    <definedName name="IQ_NI_GW_EST_TOTAL_REVISED_3MONTH" hidden="1">"c16458"</definedName>
    <definedName name="IQ_NI_GW_EST_TOTAL_REVISED_3MONTH_THOM" hidden="1">"c17286"</definedName>
    <definedName name="IQ_NI_GW_EST_TOTAL_REVISED_MONTH" hidden="1">"c16450"</definedName>
    <definedName name="IQ_NI_GW_EST_TOTAL_REVISED_MONTH_THOM" hidden="1">"c17278"</definedName>
    <definedName name="IQ_NI_GW_EST_UP_2MONTH" hidden="1">"c16452"</definedName>
    <definedName name="IQ_NI_GW_EST_UP_2MONTH_THOM" hidden="1">"c17280"</definedName>
    <definedName name="IQ_NI_GW_EST_UP_3MONTH" hidden="1">"c16456"</definedName>
    <definedName name="IQ_NI_GW_EST_UP_3MONTH_THOM" hidden="1">"c17284"</definedName>
    <definedName name="IQ_NI_GW_EST_UP_MONTH" hidden="1">"c16448"</definedName>
    <definedName name="IQ_NI_GW_EST_UP_MONTH_THOM" hidden="1">"c17276"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EST_REUT" hidden="1">"c5377"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EST_REUT" hidden="1">"c5378"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EST_THOM" hidden="1">"c5128"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REUT" hidden="1">"c5371"</definedName>
    <definedName name="IQ_NI_LOW_EST_THOM" hidden="1">"c5129"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REUT" hidden="1">"c5369"</definedName>
    <definedName name="IQ_NI_MEDIAN_EST_THOM" hidden="1">"c5127"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NUM_EST_THOM" hidden="1">"c5130"</definedName>
    <definedName name="IQ_NI_REPORTED_DET_EST_NOTE" hidden="1">"c17537"</definedName>
    <definedName name="IQ_NI_REPORTED_DET_EST_ORIGIN" hidden="1">"c12588"</definedName>
    <definedName name="IQ_NI_REPORTED_EST" hidden="1">"c1730"</definedName>
    <definedName name="IQ_NI_REPORTED_EST_DOWN_2MONTH" hidden="1">"c16441"</definedName>
    <definedName name="IQ_NI_REPORTED_EST_DOWN_3MONTH" hidden="1">"c16445"</definedName>
    <definedName name="IQ_NI_REPORTED_EST_DOWN_MONTH" hidden="1">"c16437"</definedName>
    <definedName name="IQ_NI_REPORTED_EST_NUM_ANALYSTS_2MONTH" hidden="1">"c16439"</definedName>
    <definedName name="IQ_NI_REPORTED_EST_NUM_ANALYSTS_3MONTH" hidden="1">"c16443"</definedName>
    <definedName name="IQ_NI_REPORTED_EST_NUM_ANALYSTS_MONTH" hidden="1">"c16435"</definedName>
    <definedName name="IQ_NI_REPORTED_EST_REUT" hidden="1">"c5382"</definedName>
    <definedName name="IQ_NI_REPORTED_EST_TOTAL_REVISED_2MONTH" hidden="1">"c16442"</definedName>
    <definedName name="IQ_NI_REPORTED_EST_TOTAL_REVISED_3MONTH" hidden="1">"c16446"</definedName>
    <definedName name="IQ_NI_REPORTED_EST_TOTAL_REVISED_MONTH" hidden="1">"c16438"</definedName>
    <definedName name="IQ_NI_REPORTED_EST_UP_2MONTH" hidden="1">"c16440"</definedName>
    <definedName name="IQ_NI_REPORTED_EST_UP_3MONTH" hidden="1">"c16444"</definedName>
    <definedName name="IQ_NI_REPORTED_EST_UP_MONTH" hidden="1">"c16436"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TRADES_EXECUTED" hidden="1">"c20428"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NOTE_THOM" hidden="1">"c17594"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DOWN_2MONTH" hidden="1">"c16369"</definedName>
    <definedName name="IQ_OPER_INC_EST_DOWN_2MONTH_THOM" hidden="1">"c17233"</definedName>
    <definedName name="IQ_OPER_INC_EST_DOWN_3MONTH" hidden="1">"c16373"</definedName>
    <definedName name="IQ_OPER_INC_EST_DOWN_3MONTH_THOM" hidden="1">"c17237"</definedName>
    <definedName name="IQ_OPER_INC_EST_DOWN_MONTH" hidden="1">"c16365"</definedName>
    <definedName name="IQ_OPER_INC_EST_DOWN_MONTH_THOM" hidden="1">"c17229"</definedName>
    <definedName name="IQ_OPER_INC_EST_NUM_ANALYSTS_2MONTH" hidden="1">"c16367"</definedName>
    <definedName name="IQ_OPER_INC_EST_NUM_ANALYSTS_2MONTH_THOM" hidden="1">"c17231"</definedName>
    <definedName name="IQ_OPER_INC_EST_NUM_ANALYSTS_3MONTH" hidden="1">"c16371"</definedName>
    <definedName name="IQ_OPER_INC_EST_NUM_ANALYSTS_3MONTH_THOM" hidden="1">"c17235"</definedName>
    <definedName name="IQ_OPER_INC_EST_NUM_ANALYSTS_MONTH" hidden="1">"c16363"</definedName>
    <definedName name="IQ_OPER_INC_EST_NUM_ANALYSTS_MONTH_THOM" hidden="1">"c17227"</definedName>
    <definedName name="IQ_OPER_INC_EST_REUT" hidden="1">"c5340"</definedName>
    <definedName name="IQ_OPER_INC_EST_THOM" hidden="1">"c5112"</definedName>
    <definedName name="IQ_OPER_INC_EST_TOTAL_REVISED_2MONTH" hidden="1">"c16370"</definedName>
    <definedName name="IQ_OPER_INC_EST_TOTAL_REVISED_2MONTH_THOM" hidden="1">"c17234"</definedName>
    <definedName name="IQ_OPER_INC_EST_TOTAL_REVISED_3MONTH" hidden="1">"c16374"</definedName>
    <definedName name="IQ_OPER_INC_EST_TOTAL_REVISED_3MONTH_THOM" hidden="1">"c17238"</definedName>
    <definedName name="IQ_OPER_INC_EST_TOTAL_REVISED_MONTH" hidden="1">"c16366"</definedName>
    <definedName name="IQ_OPER_INC_EST_TOTAL_REVISED_MONTH_THOM" hidden="1">"c17230"</definedName>
    <definedName name="IQ_OPER_INC_EST_UP_2MONTH" hidden="1">"c16368"</definedName>
    <definedName name="IQ_OPER_INC_EST_UP_2MONTH_THOM" hidden="1">"c17232"</definedName>
    <definedName name="IQ_OPER_INC_EST_UP_3MONTH" hidden="1">"c16372"</definedName>
    <definedName name="IQ_OPER_INC_EST_UP_3MONTH_THOM" hidden="1">"c17236"</definedName>
    <definedName name="IQ_OPER_INC_EST_UP_MONTH" hidden="1">"c16364"</definedName>
    <definedName name="IQ_OPER_INC_EST_UP_MONTH_THOM" hidden="1">"c17228"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RGANIC_GROWTH_RATE" hidden="1">"c20429"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FS_AMORT_COST_FFIEC" hidden="1">"c20503"</definedName>
    <definedName name="IQ_OTHER_DEBT_SEC_DOM_AFS_FAIR_VAL_FFIEC" hidden="1">"c20468"</definedName>
    <definedName name="IQ_OTHER_DEBT_SEC_DOM_AVAIL_SALE_FFIEC" hidden="1">"c12803"</definedName>
    <definedName name="IQ_OTHER_DEBT_SEC_FOREIGN_AFS_AMORT_COST_FFIEC" hidden="1">"c20504"</definedName>
    <definedName name="IQ_OTHER_DEBT_SEC_FOREIGN_AFS_FAIR_VAL_FFIEC" hidden="1">"c20469"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FFIEC" hidden="1">"c12790"</definedName>
    <definedName name="IQ_OTHER_DEBT_SECURITIES_FOREIGN_HTM_AMORT_COST_FFIEC" hidden="1">"c20452"</definedName>
    <definedName name="IQ_OTHER_DEBT_SECURITIES_FOREIGN_HTM_FAIR_VAL_FFIEC" hidden="1">"c20487"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FS_AMORT_COST_FFIEC" hidden="1">"c20498"</definedName>
    <definedName name="IQ_OTHER_MBS_AFS_FAIR_VAL_FFIEC" hidden="1">"c20463"</definedName>
    <definedName name="IQ_OTHER_MBS_AVAIL_SALE_FFIEC" hidden="1">"c12801"</definedName>
    <definedName name="IQ_OTHER_MBS_FFIEC" hidden="1">"c12787"</definedName>
    <definedName name="IQ_OTHER_MBS_HTM_AMORT_COST_FFIEC" hidden="1">"c20446"</definedName>
    <definedName name="IQ_OTHER_MBS_HTM_FAIR_VAL_FFIEC" hidden="1">"c20481"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THOM" hidden="1">"c15237"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_COL" hidden="1">"c11711"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DET_EST_NOTE" hidden="1">"c17536"</definedName>
    <definedName name="IQ_PRETAX_GW_INC_EST" hidden="1">"c1702"</definedName>
    <definedName name="IQ_PRETAX_GW_INC_EST_DOWN_2MONTH" hidden="1">"c16417"</definedName>
    <definedName name="IQ_PRETAX_GW_INC_EST_DOWN_3MONTH" hidden="1">"c16421"</definedName>
    <definedName name="IQ_PRETAX_GW_INC_EST_DOWN_MONTH" hidden="1">"c16413"</definedName>
    <definedName name="IQ_PRETAX_GW_INC_EST_NUM_ANALYSTS_2MONTH" hidden="1">"c16415"</definedName>
    <definedName name="IQ_PRETAX_GW_INC_EST_NUM_ANALYSTS_3MONTH" hidden="1">"c16419"</definedName>
    <definedName name="IQ_PRETAX_GW_INC_EST_NUM_ANALYSTS_MONTH" hidden="1">"c16411"</definedName>
    <definedName name="IQ_PRETAX_GW_INC_EST_REUT" hidden="1">"c5354"</definedName>
    <definedName name="IQ_PRETAX_GW_INC_EST_TOTAL_REVISED_2MONTH" hidden="1">"c16418"</definedName>
    <definedName name="IQ_PRETAX_GW_INC_EST_TOTAL_REVISED_3MONTH" hidden="1">"c16422"</definedName>
    <definedName name="IQ_PRETAX_GW_INC_EST_TOTAL_REVISED_MONTH" hidden="1">"c16414"</definedName>
    <definedName name="IQ_PRETAX_GW_INC_EST_UP_2MONTH" hidden="1">"c16416"</definedName>
    <definedName name="IQ_PRETAX_GW_INC_EST_UP_3MONTH" hidden="1">"c16420"</definedName>
    <definedName name="IQ_PRETAX_GW_INC_EST_UP_MONTH" hidden="1">"c16412"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AFTER_CAP_ALLOCATION_FOREIGN_FFIEC" hidden="1">"c15390"</definedName>
    <definedName name="IQ_PRETAX_INC_BEFORE_CAP_ALLOCATION_FOREIGN_FFIEC" hidden="1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NOTE" hidden="1">"c17534"</definedName>
    <definedName name="IQ_PRETAX_INC_DET_EST_NOTE_THOM" hidden="1">"c17586"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DOWN_2MONTH" hidden="1">"c16393"</definedName>
    <definedName name="IQ_PRETAX_INC_EST_DOWN_2MONTH_THOM" hidden="1">"c17257"</definedName>
    <definedName name="IQ_PRETAX_INC_EST_DOWN_3MONTH" hidden="1">"c16397"</definedName>
    <definedName name="IQ_PRETAX_INC_EST_DOWN_3MONTH_THOM" hidden="1">"c17261"</definedName>
    <definedName name="IQ_PRETAX_INC_EST_DOWN_MONTH" hidden="1">"c16389"</definedName>
    <definedName name="IQ_PRETAX_INC_EST_DOWN_MONTH_THOM" hidden="1">"c17253"</definedName>
    <definedName name="IQ_PRETAX_INC_EST_NUM_ANALYSTS_2MONTH" hidden="1">"c16391"</definedName>
    <definedName name="IQ_PRETAX_INC_EST_NUM_ANALYSTS_2MONTH_THOM" hidden="1">"c17255"</definedName>
    <definedName name="IQ_PRETAX_INC_EST_NUM_ANALYSTS_3MONTH" hidden="1">"c16395"</definedName>
    <definedName name="IQ_PRETAX_INC_EST_NUM_ANALYSTS_3MONTH_THOM" hidden="1">"c17259"</definedName>
    <definedName name="IQ_PRETAX_INC_EST_NUM_ANALYSTS_MONTH" hidden="1">"c16387"</definedName>
    <definedName name="IQ_PRETAX_INC_EST_NUM_ANALYSTS_MONTH_THOM" hidden="1">"c17251"</definedName>
    <definedName name="IQ_PRETAX_INC_EST_REUT" hidden="1">"c5347"</definedName>
    <definedName name="IQ_PRETAX_INC_EST_THOM" hidden="1">"c5119"</definedName>
    <definedName name="IQ_PRETAX_INC_EST_TOTAL_REVISED_2MONTH" hidden="1">"c16394"</definedName>
    <definedName name="IQ_PRETAX_INC_EST_TOTAL_REVISED_2MONTH_THOM" hidden="1">"c17258"</definedName>
    <definedName name="IQ_PRETAX_INC_EST_TOTAL_REVISED_3MONTH" hidden="1">"c16398"</definedName>
    <definedName name="IQ_PRETAX_INC_EST_TOTAL_REVISED_3MONTH_THOM" hidden="1">"c17262"</definedName>
    <definedName name="IQ_PRETAX_INC_EST_TOTAL_REVISED_MONTH" hidden="1">"c16390"</definedName>
    <definedName name="IQ_PRETAX_INC_EST_TOTAL_REVISED_MONTH_THOM" hidden="1">"c17254"</definedName>
    <definedName name="IQ_PRETAX_INC_EST_UP_2MONTH" hidden="1">"c16392"</definedName>
    <definedName name="IQ_PRETAX_INC_EST_UP_2MONTH_THOM" hidden="1">"c17256"</definedName>
    <definedName name="IQ_PRETAX_INC_EST_UP_3MONTH" hidden="1">"c16396"</definedName>
    <definedName name="IQ_PRETAX_INC_EST_UP_3MONTH_THOM" hidden="1">"c17260"</definedName>
    <definedName name="IQ_PRETAX_INC_EST_UP_MONTH" hidden="1">"c16388"</definedName>
    <definedName name="IQ_PRETAX_INC_EST_UP_MONTH_THOM" hidden="1">"c17252"</definedName>
    <definedName name="IQ_PRETAX_INC_HIGH_EST" hidden="1">"c1697"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REPORT_INC_DET_EST_NOTE" hidden="1">"c17535"</definedName>
    <definedName name="IQ_PRETAX_REPORT_INC_EST" hidden="1">"c1709"</definedName>
    <definedName name="IQ_PRETAX_REPORT_INC_EST_DOWN_2MONTH" hidden="1">"c16405"</definedName>
    <definedName name="IQ_PRETAX_REPORT_INC_EST_DOWN_3MONTH" hidden="1">"c16409"</definedName>
    <definedName name="IQ_PRETAX_REPORT_INC_EST_DOWN_MONTH" hidden="1">"c16401"</definedName>
    <definedName name="IQ_PRETAX_REPORT_INC_EST_NUM_ANALYSTS_2MONTH" hidden="1">"c16403"</definedName>
    <definedName name="IQ_PRETAX_REPORT_INC_EST_NUM_ANALYSTS_3MONTH" hidden="1">"c16407"</definedName>
    <definedName name="IQ_PRETAX_REPORT_INC_EST_NUM_ANALYSTS_MONTH" hidden="1">"c16399"</definedName>
    <definedName name="IQ_PRETAX_REPORT_INC_EST_REUT" hidden="1">"c5361"</definedName>
    <definedName name="IQ_PRETAX_REPORT_INC_EST_TOTAL_REVISED_2MONTH" hidden="1">"c16406"</definedName>
    <definedName name="IQ_PRETAX_REPORT_INC_EST_TOTAL_REVISED_3MONTH" hidden="1">"c16410"</definedName>
    <definedName name="IQ_PRETAX_REPORT_INC_EST_TOTAL_REVISED_MONTH" hidden="1">"c16402"</definedName>
    <definedName name="IQ_PRETAX_REPORT_INC_EST_UP_2MONTH" hidden="1">"c16404"</definedName>
    <definedName name="IQ_PRETAX_REPORT_INC_EST_UP_3MONTH" hidden="1">"c16408"</definedName>
    <definedName name="IQ_PRETAX_REPORT_INC_EST_UP_MONTH" hidden="1">"c16400"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 hidden="1">"PREVIOUSLASTTIME"</definedName>
    <definedName name="IQ_PRICE_CFPS_FWD" hidden="1">"c2237"</definedName>
    <definedName name="IQ_PRICE_CFPS_FWD_REUT" hidden="1">"c4053"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SALES" hidden="1">"c17552"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EST_CIQ_COL" hidden="1">"c11677"</definedName>
    <definedName name="IQ_PRICE_VOLATILITY_HIGH" hidden="1">"c4493"</definedName>
    <definedName name="IQ_PRICE_VOLATILITY_HIGH_CIQ_COL" hidden="1">"c11678"</definedName>
    <definedName name="IQ_PRICE_VOLATILITY_LOW" hidden="1">"c4494"</definedName>
    <definedName name="IQ_PRICE_VOLATILITY_LOW_CIQ_COL" hidden="1">"c11679"</definedName>
    <definedName name="IQ_PRICE_VOLATILITY_MEDIAN" hidden="1">"c4495"</definedName>
    <definedName name="IQ_PRICE_VOLATILITY_MEDIAN_CIQ_COL" hidden="1">"c11680"</definedName>
    <definedName name="IQ_PRICE_VOLATILITY_NUM" hidden="1">"c4496"</definedName>
    <definedName name="IQ_PRICE_VOLATILITY_NUM_CIQ_COL" hidden="1">"c11681"</definedName>
    <definedName name="IQ_PRICE_VOLATILITY_STDDEV" hidden="1">"c4497"</definedName>
    <definedName name="IQ_PRICE_VOLATILITY_STDDEV_CIQ_COL" hidden="1">"c11682"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EST_CONSOLIDATION" hidden="1">"c16246"</definedName>
    <definedName name="IQ_PRIMARY_EST_CONSOLIDATION_CIQ" hidden="1">"c16247"</definedName>
    <definedName name="IQ_PRIMARY_EST_CONSOLIDATION_THOM" hidden="1">"c16248"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"c16128"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NOTE" hidden="1">"c17543"</definedName>
    <definedName name="IQ_RETURN_ASSETS_DET_EST_NOTE_THOM" hidden="1">"c17591"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DOWN_2MONTH" hidden="1">"c16537"</definedName>
    <definedName name="IQ_RETURN_ASSETS_EST_DOWN_2MONTH_THOM" hidden="1">"c17365"</definedName>
    <definedName name="IQ_RETURN_ASSETS_EST_DOWN_3MONTH" hidden="1">"c16541"</definedName>
    <definedName name="IQ_RETURN_ASSETS_EST_DOWN_3MONTH_THOM" hidden="1">"c17369"</definedName>
    <definedName name="IQ_RETURN_ASSETS_EST_DOWN_MONTH" hidden="1">"c16533"</definedName>
    <definedName name="IQ_RETURN_ASSETS_EST_DOWN_MONTH_THOM" hidden="1">"c17361"</definedName>
    <definedName name="IQ_RETURN_ASSETS_EST_NUM_ANALYSTS_2MONTH" hidden="1">"c16535"</definedName>
    <definedName name="IQ_RETURN_ASSETS_EST_NUM_ANALYSTS_2MONTH_THOM" hidden="1">"c17363"</definedName>
    <definedName name="IQ_RETURN_ASSETS_EST_NUM_ANALYSTS_3MONTH" hidden="1">"c16539"</definedName>
    <definedName name="IQ_RETURN_ASSETS_EST_NUM_ANALYSTS_3MONTH_THOM" hidden="1">"c17367"</definedName>
    <definedName name="IQ_RETURN_ASSETS_EST_NUM_ANALYSTS_MONTH" hidden="1">"c16531"</definedName>
    <definedName name="IQ_RETURN_ASSETS_EST_NUM_ANALYSTS_MONTH_THOM" hidden="1">"c17359"</definedName>
    <definedName name="IQ_RETURN_ASSETS_EST_REUT" hidden="1">"c3990"</definedName>
    <definedName name="IQ_RETURN_ASSETS_EST_THOM" hidden="1">"c4034"</definedName>
    <definedName name="IQ_RETURN_ASSETS_EST_TOTAL_REVISED_2MONTH" hidden="1">"c16538"</definedName>
    <definedName name="IQ_RETURN_ASSETS_EST_TOTAL_REVISED_2MONTH_THOM" hidden="1">"c17366"</definedName>
    <definedName name="IQ_RETURN_ASSETS_EST_TOTAL_REVISED_3MONTH" hidden="1">"c16542"</definedName>
    <definedName name="IQ_RETURN_ASSETS_EST_TOTAL_REVISED_3MONTH_THOM" hidden="1">"c17370"</definedName>
    <definedName name="IQ_RETURN_ASSETS_EST_TOTAL_REVISED_MONTH" hidden="1">"c16534"</definedName>
    <definedName name="IQ_RETURN_ASSETS_EST_TOTAL_REVISED_MONTH_THOM" hidden="1">"c17362"</definedName>
    <definedName name="IQ_RETURN_ASSETS_EST_UP_2MONTH" hidden="1">"c16536"</definedName>
    <definedName name="IQ_RETURN_ASSETS_EST_UP_2MONTH_THOM" hidden="1">"c17364"</definedName>
    <definedName name="IQ_RETURN_ASSETS_EST_UP_3MONTH" hidden="1">"c16540"</definedName>
    <definedName name="IQ_RETURN_ASSETS_EST_UP_3MONTH_THOM" hidden="1">"c17368"</definedName>
    <definedName name="IQ_RETURN_ASSETS_EST_UP_MONTH" hidden="1">"c16532"</definedName>
    <definedName name="IQ_RETURN_ASSETS_EST_UP_MONTH_THOM" hidden="1">"c17360"</definedName>
    <definedName name="IQ_RETURN_ASSETS_FDIC" hidden="1">"c6730"</definedName>
    <definedName name="IQ_RETURN_ASSETS_FS" hidden="1">"c1116"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REUT" hidden="1">"c3992"</definedName>
    <definedName name="IQ_RETURN_ASSETS_HIGH_EST_THOM" hidden="1">"c4036"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REUT" hidden="1">"c3993"</definedName>
    <definedName name="IQ_RETURN_ASSETS_LOW_EST_THOM" hidden="1">"c4037"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NOTE" hidden="1">"c17544"</definedName>
    <definedName name="IQ_RETURN_EQUITY_DET_EST_NOTE_THOM" hidden="1">"c17592"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DOWN_2MONTH" hidden="1">"c16549"</definedName>
    <definedName name="IQ_RETURN_EQUITY_EST_DOWN_2MONTH_THOM" hidden="1">"c17377"</definedName>
    <definedName name="IQ_RETURN_EQUITY_EST_DOWN_3MONTH" hidden="1">"c16553"</definedName>
    <definedName name="IQ_RETURN_EQUITY_EST_DOWN_3MONTH_THOM" hidden="1">"c17381"</definedName>
    <definedName name="IQ_RETURN_EQUITY_EST_DOWN_MONTH" hidden="1">"c16545"</definedName>
    <definedName name="IQ_RETURN_EQUITY_EST_DOWN_MONTH_THOM" hidden="1">"c17373"</definedName>
    <definedName name="IQ_RETURN_EQUITY_EST_NUM_ANALYSTS_2MONTH" hidden="1">"c16547"</definedName>
    <definedName name="IQ_RETURN_EQUITY_EST_NUM_ANALYSTS_2MONTH_THOM" hidden="1">"c17375"</definedName>
    <definedName name="IQ_RETURN_EQUITY_EST_NUM_ANALYSTS_3MONTH" hidden="1">"c16551"</definedName>
    <definedName name="IQ_RETURN_EQUITY_EST_NUM_ANALYSTS_3MONTH_THOM" hidden="1">"c17379"</definedName>
    <definedName name="IQ_RETURN_EQUITY_EST_NUM_ANALYSTS_MONTH" hidden="1">"c16543"</definedName>
    <definedName name="IQ_RETURN_EQUITY_EST_NUM_ANALYSTS_MONTH_THOM" hidden="1">"c17371"</definedName>
    <definedName name="IQ_RETURN_EQUITY_EST_REUT" hidden="1">"c3983"</definedName>
    <definedName name="IQ_RETURN_EQUITY_EST_THOM" hidden="1">"c5479"</definedName>
    <definedName name="IQ_RETURN_EQUITY_EST_TOTAL_REVISED_2MONTH" hidden="1">"c16550"</definedName>
    <definedName name="IQ_RETURN_EQUITY_EST_TOTAL_REVISED_2MONTH_THOM" hidden="1">"c17378"</definedName>
    <definedName name="IQ_RETURN_EQUITY_EST_TOTAL_REVISED_3MONTH" hidden="1">"c16554"</definedName>
    <definedName name="IQ_RETURN_EQUITY_EST_TOTAL_REVISED_3MONTH_THOM" hidden="1">"c17382"</definedName>
    <definedName name="IQ_RETURN_EQUITY_EST_TOTAL_REVISED_MONTH" hidden="1">"c16546"</definedName>
    <definedName name="IQ_RETURN_EQUITY_EST_TOTAL_REVISED_MONTH_THOM" hidden="1">"c17374"</definedName>
    <definedName name="IQ_RETURN_EQUITY_EST_UP_2MONTH" hidden="1">"c16548"</definedName>
    <definedName name="IQ_RETURN_EQUITY_EST_UP_2MONTH_THOM" hidden="1">"c17376"</definedName>
    <definedName name="IQ_RETURN_EQUITY_EST_UP_3MONTH" hidden="1">"c16552"</definedName>
    <definedName name="IQ_RETURN_EQUITY_EST_UP_3MONTH_THOM" hidden="1">"c17380"</definedName>
    <definedName name="IQ_RETURN_EQUITY_EST_UP_MONTH" hidden="1">"c16544"</definedName>
    <definedName name="IQ_RETURN_EQUITY_EST_UP_MONTH_THOM" hidden="1">"c17372"</definedName>
    <definedName name="IQ_RETURN_EQUITY_FDIC" hidden="1">"c6732"</definedName>
    <definedName name="IQ_RETURN_EQUITY_FS" hidden="1">"c1121"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REUT" hidden="1">"c3985"</definedName>
    <definedName name="IQ_RETURN_EQUITY_HIGH_EST_THOM" hidden="1">"c5283"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REUT" hidden="1">"c3986"</definedName>
    <definedName name="IQ_RETURN_EQUITY_LOW_EST_THOM" hidden="1">"c5284"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NOTE" hidden="1">"c17525"</definedName>
    <definedName name="IQ_REV_DET_EST_NOTE_THOM" hidden="1">"c17578"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REUT" hidden="1">"c5461"</definedName>
    <definedName name="IQ_REVENUE_ACT_OR_EST_THOM" hidden="1">"c5299"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DOWN_2MONTH" hidden="1">"c16285"</definedName>
    <definedName name="IQ_REVENUE_EST_DOWN_2MONTH_CIQ" hidden="1">"c16609"</definedName>
    <definedName name="IQ_REVENUE_EST_DOWN_2MONTH_THOM" hidden="1">"c17149"</definedName>
    <definedName name="IQ_REVENUE_EST_DOWN_3MONTH" hidden="1">"c16289"</definedName>
    <definedName name="IQ_REVENUE_EST_DOWN_3MONTH_CIQ" hidden="1">"c16613"</definedName>
    <definedName name="IQ_REVENUE_EST_DOWN_3MONTH_THOM" hidden="1">"c17153"</definedName>
    <definedName name="IQ_REVENUE_EST_DOWN_MONTH" hidden="1">"c16281"</definedName>
    <definedName name="IQ_REVENUE_EST_DOWN_MONTH_CIQ" hidden="1">"c16605"</definedName>
    <definedName name="IQ_REVENUE_EST_DOWN_MONTH_THOM" hidden="1">"c17145"</definedName>
    <definedName name="IQ_REVENUE_EST_NOTE" hidden="1">"c17502"</definedName>
    <definedName name="IQ_REVENUE_EST_NOTE_CIQ" hidden="1">"c17455"</definedName>
    <definedName name="IQ_REVENUE_EST_NUM_ANALYSTS_2MONTH" hidden="1">"c16283"</definedName>
    <definedName name="IQ_REVENUE_EST_NUM_ANALYSTS_2MONTH_CIQ" hidden="1">"c16607"</definedName>
    <definedName name="IQ_REVENUE_EST_NUM_ANALYSTS_2MONTH_THOM" hidden="1">"c17147"</definedName>
    <definedName name="IQ_REVENUE_EST_NUM_ANALYSTS_3MONTH" hidden="1">"c16287"</definedName>
    <definedName name="IQ_REVENUE_EST_NUM_ANALYSTS_3MONTH_CIQ" hidden="1">"c16611"</definedName>
    <definedName name="IQ_REVENUE_EST_NUM_ANALYSTS_3MONTH_THOM" hidden="1">"c17151"</definedName>
    <definedName name="IQ_REVENUE_EST_NUM_ANALYSTS_MONTH" hidden="1">"c16279"</definedName>
    <definedName name="IQ_REVENUE_EST_NUM_ANALYSTS_MONTH_CIQ" hidden="1">"c16603"</definedName>
    <definedName name="IQ_REVENUE_EST_NUM_ANALYSTS_MONTH_THOM" hidden="1">"c17143"</definedName>
    <definedName name="IQ_REVENUE_EST_REUT" hidden="1">"c3634"</definedName>
    <definedName name="IQ_REVENUE_EST_THOM" hidden="1">"c3652"</definedName>
    <definedName name="IQ_REVENUE_EST_TOTAL_REVISED_2MONTH" hidden="1">"c16286"</definedName>
    <definedName name="IQ_REVENUE_EST_TOTAL_REVISED_2MONTH_CIQ" hidden="1">"c16610"</definedName>
    <definedName name="IQ_REVENUE_EST_TOTAL_REVISED_2MONTH_THOM" hidden="1">"c17150"</definedName>
    <definedName name="IQ_REVENUE_EST_TOTAL_REVISED_3MONTH" hidden="1">"c16290"</definedName>
    <definedName name="IQ_REVENUE_EST_TOTAL_REVISED_3MONTH_CIQ" hidden="1">"c16614"</definedName>
    <definedName name="IQ_REVENUE_EST_TOTAL_REVISED_3MONTH_THOM" hidden="1">"c17154"</definedName>
    <definedName name="IQ_REVENUE_EST_TOTAL_REVISED_MONTH" hidden="1">"c16282"</definedName>
    <definedName name="IQ_REVENUE_EST_TOTAL_REVISED_MONTH_CIQ" hidden="1">"c16606"</definedName>
    <definedName name="IQ_REVENUE_EST_TOTAL_REVISED_MONTH_THOM" hidden="1">"c17146"</definedName>
    <definedName name="IQ_REVENUE_EST_UP_2MONTH" hidden="1">"c16284"</definedName>
    <definedName name="IQ_REVENUE_EST_UP_2MONTH_CIQ" hidden="1">"c16608"</definedName>
    <definedName name="IQ_REVENUE_EST_UP_2MONTH_THOM" hidden="1">"c17148"</definedName>
    <definedName name="IQ_REVENUE_EST_UP_3MONTH" hidden="1">"c16288"</definedName>
    <definedName name="IQ_REVENUE_EST_UP_3MONTH_CIQ" hidden="1">"c16612"</definedName>
    <definedName name="IQ_REVENUE_EST_UP_3MONTH_THOM" hidden="1">"c17152"</definedName>
    <definedName name="IQ_REVENUE_EST_UP_MONTH" hidden="1">"c16280"</definedName>
    <definedName name="IQ_REVENUE_EST_UP_MONTH_CIQ" hidden="1">"c16604"</definedName>
    <definedName name="IQ_REVENUE_EST_UP_MONTH_THOM" hidden="1">"c17144"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39141.6703125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RSSD_ID_FFIEC" hidden="1">"c20506"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FS_AMORT_COST_FFIEC" hidden="1">"c20492"</definedName>
    <definedName name="IQ_SEC_ISSUED_US_AFS_FAIR_VAL_FFIEC" hidden="1">"c20457"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AFS_AMORT_COST_FFIEC" hidden="1">"c20488"</definedName>
    <definedName name="IQ_SECURITIES_AFS_FAIR_VAL_FFIEC" hidden="1">"c20453"</definedName>
    <definedName name="IQ_SECURITIES_GAINS_FDIC" hidden="1">"c6584"</definedName>
    <definedName name="IQ_SECURITIES_HELD_MATURITY_FFIEC" hidden="1">"c12777"</definedName>
    <definedName name="IQ_SECURITIES_HTM_AMORT_COST_FFIEC" hidden="1">"c20436"</definedName>
    <definedName name="IQ_SECURITIES_HTM_FAIR_VAL_FFIEC" hidden="1">"c20471"</definedName>
    <definedName name="IQ_SECURITIES_ISSUED_STATES_FDIC" hidden="1">"c6300"</definedName>
    <definedName name="IQ_SECURITIES_ISSUED_US_FFIEC" hidden="1">"c12781"</definedName>
    <definedName name="IQ_SECURITIES_ISSUED_US_HTM_AMORT_COST_FFIEC" hidden="1">"c20440"</definedName>
    <definedName name="IQ_SECURITIES_ISSUED_US_HTM_FAIR_VAL_FFIEC" hidden="1">"c20475"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OVER_INST_OWNERSHIP" hidden="1">"c17422"</definedName>
    <definedName name="IQ_SHORT_INTEREST_PERCENT" hidden="1">"c1576"</definedName>
    <definedName name="IQ_SHORT_POSITIONS_FFIEC" hidden="1">"c12859"</definedName>
    <definedName name="IQ_SHORT_SCORE_DX" hidden="1">"c17439"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QUALITY_RANKING_DESCRIPTION" hidden="1">"c17410"</definedName>
    <definedName name="IQ_SP_QUALITY_RANKING_VALUE" hidden="1">"c17409"</definedName>
    <definedName name="IQ_SP_REASON" hidden="1">"c2174"</definedName>
    <definedName name="IQ_SP_STARS_DESCRIPTION" hidden="1">"c17408"</definedName>
    <definedName name="IQ_SP_STARS_VALUE" hidden="1">"c17407"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NOTE_THOM" hidden="1">"c17596"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CAPEX" hidden="1">"c17553"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DOWN_2MONTH" hidden="1">"c16489"</definedName>
    <definedName name="IQ_TEV_EST_DOWN_2MONTH_THOM" hidden="1">"c17317"</definedName>
    <definedName name="IQ_TEV_EST_DOWN_3MONTH" hidden="1">"c16493"</definedName>
    <definedName name="IQ_TEV_EST_DOWN_3MONTH_THOM" hidden="1">"c17321"</definedName>
    <definedName name="IQ_TEV_EST_DOWN_MONTH" hidden="1">"c16485"</definedName>
    <definedName name="IQ_TEV_EST_DOWN_MONTH_THOM" hidden="1">"c17313"</definedName>
    <definedName name="IQ_TEV_EST_NUM_ANALYSTS_2MONTH" hidden="1">"c16487"</definedName>
    <definedName name="IQ_TEV_EST_NUM_ANALYSTS_2MONTH_THOM" hidden="1">"c17315"</definedName>
    <definedName name="IQ_TEV_EST_NUM_ANALYSTS_3MONTH" hidden="1">"c16491"</definedName>
    <definedName name="IQ_TEV_EST_NUM_ANALYSTS_3MONTH_THOM" hidden="1">"c17319"</definedName>
    <definedName name="IQ_TEV_EST_NUM_ANALYSTS_MONTH" hidden="1">"c16483"</definedName>
    <definedName name="IQ_TEV_EST_NUM_ANALYSTS_MONTH_THOM" hidden="1">"c17311"</definedName>
    <definedName name="IQ_TEV_EST_THOM" hidden="1">"c5529"</definedName>
    <definedName name="IQ_TEV_EST_TOTAL_REVISED_2MONTH" hidden="1">"c16490"</definedName>
    <definedName name="IQ_TEV_EST_TOTAL_REVISED_2MONTH_THOM" hidden="1">"c17318"</definedName>
    <definedName name="IQ_TEV_EST_TOTAL_REVISED_3MONTH" hidden="1">"c16494"</definedName>
    <definedName name="IQ_TEV_EST_TOTAL_REVISED_3MONTH_THOM" hidden="1">"c17322"</definedName>
    <definedName name="IQ_TEV_EST_TOTAL_REVISED_MONTH" hidden="1">"c16486"</definedName>
    <definedName name="IQ_TEV_EST_TOTAL_REVISED_MONTH_THOM" hidden="1">"c17314"</definedName>
    <definedName name="IQ_TEV_EST_UP_2MONTH" hidden="1">"c16488"</definedName>
    <definedName name="IQ_TEV_EST_UP_2MONTH_THOM" hidden="1">"c17316"</definedName>
    <definedName name="IQ_TEV_EST_UP_3MONTH" hidden="1">"c16492"</definedName>
    <definedName name="IQ_TEV_EST_UP_3MONTH_THOM" hidden="1">"c17320"</definedName>
    <definedName name="IQ_TEV_EST_UP_MONTH" hidden="1">"c16484"</definedName>
    <definedName name="IQ_TEV_EST_UP_MONTH_THOM" hidden="1">"c17312"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ISSUE" hidden="1">"c17571"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_OVER_SHARES_ISSUE" hidden="1">"c17566"</definedName>
    <definedName name="IQ_TR_EXPIRED_DATE" hidden="1">"c2412"</definedName>
    <definedName name="IQ_TR_GROSS_OFFERING_AMT" hidden="1">"c2262"</definedName>
    <definedName name="IQ_TR_GROSS_PROCEEDS_ISSUE" hidden="1">"c17568"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IPO_TRANSACTION_ID" hidden="1">"c17554"</definedName>
    <definedName name="IQ_TR_LEAD_UNDERWRITERS" hidden="1">"c17576"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ROCEEDS_EX_OVER_ISSUE" hidden="1">"c17574"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_OVER_SHARES_ISSUE" hidden="1">"c17565"</definedName>
    <definedName name="IQ_TR_REG_OVER_VALUE_ISSUE" hidden="1">"c17572"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ISSUE" hidden="1">"c17570"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EX_OVER_VALUE_ISSUE" hidden="1">"c17573"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UNDERWRITER_COMP_ISSUE" hidden="1">"c17569"</definedName>
    <definedName name="IQ_TR_UNDERWRITERS_OTHER" hidden="1">"c17577"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HTM_AMORT_COST_FFIEC" hidden="1">"c20438"</definedName>
    <definedName name="IQ_US_AGENCY_OBLIG_HTM_FAIR_VAL_FFIEC" hidden="1">"c20473"</definedName>
    <definedName name="IQ_US_AGENCY_OBLIG_TRADING_DOM_FFIEC" hidden="1">"c12919"</definedName>
    <definedName name="IQ_US_AGENCY_OBLIG_TRADING_FFIEC" hidden="1">"c12814"</definedName>
    <definedName name="IQ_US_AGENCY_OBLIGATIONS_AFS_AMORT_COST_FFIEC" hidden="1">"c20490"</definedName>
    <definedName name="IQ_US_AGENCY_OBLIGATIONS_AFS_FAIR_VAL_FFIEC" hidden="1">"c20455"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AVAIL_SALE_FFIEC" hidden="1">"c12794"</definedName>
    <definedName name="IQ_US_SPONSORED_AGENCY_OBLIG_FFIEC" hidden="1">"c12780"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_TREASURY_SECURITIES_HTM_AMORT_COST_FFIEC" hidden="1">"c20437"</definedName>
    <definedName name="IQ_US_TREASURY_SECURITIES_HTM_FAIR_VAL_FFIEC" hidden="1">"c20472"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CUSTOMER_ASSETS" hidden="1">"c20433"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"c2203"</definedName>
    <definedName name="IQ_XDIV_DATE_LIST" hidden="1">"c17416"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CURVE_LIST" hidden="1">"c19250"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6</definedName>
    <definedName name="IQRA10" hidden="1">"$A$11:$A$262"</definedName>
    <definedName name="IQRA38" hidden="1">"$A$39:$A$48"</definedName>
    <definedName name="IQRA5" hidden="1">"$A$6:$A$20"</definedName>
    <definedName name="IQRA6" hidden="1">"$A$7:$A$21"</definedName>
    <definedName name="IQRA60" hidden="1">"$A$61:$A$75"</definedName>
    <definedName name="IQRA7" hidden="1">"$A$8:$A$21"</definedName>
    <definedName name="IQRA8" hidden="1">"$A$9:$A$19"</definedName>
    <definedName name="IQRB15" hidden="1">"$B$16:$B$17"</definedName>
    <definedName name="IQRB17" hidden="1">"$B$18:$B$22"</definedName>
    <definedName name="IQRB18" hidden="1">"$B$19:$B$23"</definedName>
    <definedName name="IQRB19" hidden="1">"$B$20:$B$24"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32" hidden="1">"$B$33:$B$37"</definedName>
    <definedName name="IQRB33" hidden="1">"$B$34:$B$38"</definedName>
    <definedName name="IQRB34" hidden="1">"$B$35:$B$39"</definedName>
    <definedName name="IQRB38" hidden="1">"$B$39:$B$48"</definedName>
    <definedName name="IQRB5" hidden="1">"$B$6:$B$20"</definedName>
    <definedName name="IQRB6" hidden="1">"$B$7:$B$21"</definedName>
    <definedName name="IQRB8" hidden="1">"$B$9:$B$19"</definedName>
    <definedName name="IQRC15" hidden="1">"$C$16:$C$20"</definedName>
    <definedName name="IQRC24" hidden="1">"$C$25:$C$29"</definedName>
    <definedName name="IQRC5" hidden="1">"$C$6:$C$20"</definedName>
    <definedName name="IQRC6" hidden="1">"$C$7:$C$21"</definedName>
    <definedName name="IQRC8" hidden="1">"$C$9:$C$19"</definedName>
    <definedName name="IQRD15" hidden="1">"$D$16:$D$17"</definedName>
    <definedName name="IQRD8" hidden="1">"$D$9:$D$19"</definedName>
    <definedName name="IQRE8" hidden="1">"$E$9:$E$19"</definedName>
    <definedName name="IRA">#REF!</definedName>
    <definedName name="iran">#REF!</definedName>
    <definedName name="Irbe" hidden="1">{#N/A,#N/A,FALSE,"Pharm";#N/A,#N/A,FALSE,"WWCM"}</definedName>
    <definedName name="IRELAND">#REF!</definedName>
    <definedName name="Ireland__ECU">#REF!</definedName>
    <definedName name="IRG">#N/A</definedName>
    <definedName name="IRISBUSX3" hidden="1">{"'BGT2001'!$A$1:$AE$112"}</definedName>
    <definedName name="irooru" hidden="1">{"'BGT2001'!$A$1:$AE$112"}</definedName>
    <definedName name="irr">#REF!</definedName>
    <definedName name="IRR_File">"IRR_Calc"</definedName>
    <definedName name="irr_switch">#REF!</definedName>
    <definedName name="IS">#REF!</definedName>
    <definedName name="ISblnHideRow">#N/A</definedName>
    <definedName name="ISD">#REF!</definedName>
    <definedName name="ISDG">#REF!</definedName>
    <definedName name="ISDGBASE">#REF!</definedName>
    <definedName name="ISDM">#REF!</definedName>
    <definedName name="ISDM_ISDG">#REF!</definedName>
    <definedName name="ISDMG_EP">#REF!</definedName>
    <definedName name="ish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ISHistForc">#REF!</definedName>
    <definedName name="ISQTR">#REF!</definedName>
    <definedName name="ISS">#REF!</definedName>
    <definedName name="Issue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IT">#REF!</definedName>
    <definedName name="IT.Amt">#REF!</definedName>
    <definedName name="IT.FormulaOFS">#REF!</definedName>
    <definedName name="ITAL">#REF!</definedName>
    <definedName name="Italy">#REF!</definedName>
    <definedName name="ITALY_">#REF!</definedName>
    <definedName name="ITAX" hidden="1">{"'I-1 and I-2'!$A$1:$G$190"}</definedName>
    <definedName name="ITC">8524900910</definedName>
    <definedName name="ITD">#REF!</definedName>
    <definedName name="ITdep0708">#REF!</definedName>
    <definedName name="itdepn9899">#REF!</definedName>
    <definedName name="ITdeprn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Item_Description">#REF!</definedName>
    <definedName name="ITEM_MASTER_WITH_COST_032101_Query">#REF!</definedName>
    <definedName name="ITEM_START">#REF!</definedName>
    <definedName name="itinfra">#REF!</definedName>
    <definedName name="iu" hidden="1">{#N/A,#N/A,TRUE,"Argentina";#N/A,#N/A,TRUE,"Brazil";#N/A,#N/A,TRUE,"Venezuela";#N/A,#N/A,TRUE,"Chile";#N/A,#N/A,TRUE,"Other LA";#N/A,#N/A,TRUE,"Puerto Rico"}</definedName>
    <definedName name="IU_1">#REF!</definedName>
    <definedName name="IU_2">#REF!</definedName>
    <definedName name="IUI">#REF!</definedName>
    <definedName name="iungds" hidden="1">{"detail",#N/A,FALSE,"mfg";"summary",#N/A,FALSE,"mfg"}</definedName>
    <definedName name="iuyt" hidden="1">{"AS REP",#N/A,FALSE,"EEFSNAP2";"PROP",#N/A,FALSE,"EEFSNAP2";"RISKS",#N/A,FALSE,"EEFSNAP2";"VIEW ALL",#N/A,FALSE,"EEFSNAP2"}</definedName>
    <definedName name="Iveco1" hidden="1">{"'BGT2001'!$A$1:$AE$112"}</definedName>
    <definedName name="Iveco2" hidden="1">{"'BGT2001'!$A$1:$AE$112"}</definedName>
    <definedName name="Iveco3" hidden="1">{"'BGT2001'!$A$1:$AE$112"}</definedName>
    <definedName name="iven">#REF!</definedName>
    <definedName name="iy" hidden="1">{"AS REP",#N/A,FALSE,"EEFSNAP2";"PROP",#N/A,FALSE,"EEFSNAP2";"RISKS",#N/A,FALSE,"EEFSNAP2";"VIEW ALL",#N/A,FALSE,"EEFSNAP2"}</definedName>
    <definedName name="J" hidden="1">{#N/A,#N/A,FALSE,"COMP"}</definedName>
    <definedName name="J_16">#REF!</definedName>
    <definedName name="J_17">#REF!</definedName>
    <definedName name="J_4">#REF!</definedName>
    <definedName name="j145\">#REF!</definedName>
    <definedName name="j170j">#REF!</definedName>
    <definedName name="j356C8">#REF!</definedName>
    <definedName name="JA">#REF!</definedName>
    <definedName name="JAA">'[1]Note 33 to 47'!#REF!</definedName>
    <definedName name="JACK">#REF!</definedName>
    <definedName name="Jai" hidden="1">{"'August 2000'!$A$1:$J$101"}</definedName>
    <definedName name="jam">0.1</definedName>
    <definedName name="Jan">"Walldorf_CY_BS"</definedName>
    <definedName name="Jan_04">#REF!</definedName>
    <definedName name="JanDuty5">#REF!</definedName>
    <definedName name="JanEur">#REF!</definedName>
    <definedName name="Jani_CY01">#REF!</definedName>
    <definedName name="Jani_Expense">#REF!</definedName>
    <definedName name="Jani_Provision">#REF!</definedName>
    <definedName name="Jani_Total">#REF!</definedName>
    <definedName name="jann">{"REP1",#N/A,FALSE,"HSSA-LOG"}</definedName>
    <definedName name="JANPLAN">#REF!</definedName>
    <definedName name="JANSBI">#REF!</definedName>
    <definedName name="JANSBM">#REF!</definedName>
    <definedName name="JansDuty7">#REF!</definedName>
    <definedName name="JansDuty8">#REF!</definedName>
    <definedName name="JansStock7">#REF!</definedName>
    <definedName name="JansStock8">#REF!</definedName>
    <definedName name="JanStock5">#REF!</definedName>
    <definedName name="JansVAT7">#REF!</definedName>
    <definedName name="JansVAT8">#REF!</definedName>
    <definedName name="january">#REF!</definedName>
    <definedName name="JanUSD">#REF!</definedName>
    <definedName name="JANV" hidden="1">{#N/A,#N/A,FALSE,"Tabl. H1";#N/A,#N/A,FALSE,"Tabl. H2"}</definedName>
    <definedName name="JanVAT5">#REF!</definedName>
    <definedName name="Jap_inv">#REF!</definedName>
    <definedName name="JAPA">#REF!</definedName>
    <definedName name="japafx">" "</definedName>
    <definedName name="Japan">#REF!</definedName>
    <definedName name="japan_asp">#REF!</definedName>
    <definedName name="japan_bklg">#REF!</definedName>
    <definedName name="Japan_col">#REF!</definedName>
    <definedName name="Japan_detail">#REF!</definedName>
    <definedName name="japan_si">#REF!</definedName>
    <definedName name="jasn">#REF!</definedName>
    <definedName name="Jay" hidden="1">{#N/A,#N/A,FALSE,"gc (2)"}</definedName>
    <definedName name="jcb">#REF!</definedName>
    <definedName name="jd" hidden="1">{#N/A,#N/A,FALSE,"LoanAssumptions"}</definedName>
    <definedName name="jd_1" hidden="1">{#N/A,#N/A,FALSE,"LoanAssumptions"}</definedName>
    <definedName name="jdarea">#REF!</definedName>
    <definedName name="jdfh" hidden="1">{#N/A,#N/A,TRUE,"2001 TOTAL";#N/A,#N/A,TRUE,"2001 Argentina";#N/A,#N/A,TRUE,"2001 Brazil";#N/A,#N/A,TRUE,"2001 Venezuela";#N/A,#N/A,TRUE,"2001 Chile";#N/A,#N/A,TRUE,"2001 Other Latin America";#N/A,#N/A,TRUE,"2001 Puerto Rico"}</definedName>
    <definedName name="jdsfkjdshf" hidden="1">#REF!</definedName>
    <definedName name="jdsk">#REF!</definedName>
    <definedName name="JECODE">#REF!</definedName>
    <definedName name="JECREDIT">#REF!</definedName>
    <definedName name="JEDEBIT">#REF!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udi" hidden="1">{#N/A,#N/A,FALSE,"Tabl. A1";#N/A,#N/A,FALSE,"Tabl. A1 b";#N/A,#N/A,FALSE,"Tabl. A2";#N/A,#N/A,FALSE,"Tabl. A2-1";#N/A,#N/A,FALSE,"Tabl. A2-2"}</definedName>
    <definedName name="jfdsir" hidden="1">{"YTD",#N/A,FALSE,"SUM"}</definedName>
    <definedName name="jfjfj_control" hidden="1">{"'August 2000'!$A$1:$J$101"}</definedName>
    <definedName name="jg">#N/A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j">#N/A</definedName>
    <definedName name="jgjgj" hidden="1">{#N/A,#N/A,FALSE,"COVER.XLS";#N/A,#N/A,FALSE,"RACT1.XLS";#N/A,#N/A,FALSE,"RACT2.XLS";#N/A,#N/A,FALSE,"ECCMP";#N/A,#N/A,FALSE,"WELDER.XLS"}</definedName>
    <definedName name="J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hdffg" hidden="1">{#N/A,#N/A,TRUE,"SCR-LA 2000";#N/A,#N/A,TRUE,"SCR-LA 2001";#N/A,#N/A,TRUE,"SCR-LA 2002";#N/A,#N/A,TRUE,"SCR-LA 2003"}</definedName>
    <definedName name="jhdgh" hidden="1">{#N/A,#N/A,TRUE,"SCR-LA 2001";#N/A,#N/A,TRUE,"2001 TOTAL";#N/A,#N/A,TRUE,"2001 Puerto Rico";#N/A,#N/A,TRUE,"2001 Argentina";#N/A,#N/A,TRUE,"2001 Brazil";#N/A,#N/A,TRUE,"2001 Venezuela";#N/A,#N/A,TRUE,"2001 Chile";#N/A,#N/A,TRUE,"2001 Other Latin America"}</definedName>
    <definedName name="jhfg" hidden="1">{#N/A,#N/A,TRUE,"2001 TOTAL";#N/A,#N/A,TRUE,"2001 Argentina";#N/A,#N/A,TRUE,"2001 Brazil";#N/A,#N/A,TRUE,"2001 Venezuela";#N/A,#N/A,TRUE,"2001 Chile";#N/A,#N/A,TRUE,"2001 Other Latin America";#N/A,#N/A,TRUE,"2001 Puerto Rico"}</definedName>
    <definedName name="jhfjhfhjf" hidden="1">{#N/A,#N/A,FALSE,"PMTABB";#N/A,#N/A,FALSE,"PMTABB"}</definedName>
    <definedName name="jhgd" hidden="1">{#N/A,#N/A,TRUE,"SCR-LA 2001";#N/A,#N/A,TRUE,"2001 TOTAL";#N/A,#N/A,TRUE,"2001 Puerto Rico";#N/A,#N/A,TRUE,"2001 Argentina";#N/A,#N/A,TRUE,"2001 Brazil";#N/A,#N/A,TRUE,"2001 Venezuela";#N/A,#N/A,TRUE,"2001 Chile";#N/A,#N/A,TRUE,"2001 Other Latin America"}</definedName>
    <definedName name="JHGF" hidden="1">{#N/A,#N/A,FALSE,"Tabl. A1";#N/A,#N/A,FALSE,"Tabl. A1 b";#N/A,#N/A,FALSE,"Tabl. A2";#N/A,#N/A,FALSE,"Tabl. A2-1";#N/A,#N/A,FALSE,"Tabl. A2-2"}</definedName>
    <definedName name="JHGFDS" hidden="1">{#N/A,#N/A,FALSE,"Tabl. G1";#N/A,#N/A,FALSE,"Tabl. G2"}</definedName>
    <definedName name="J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hhgjh" hidden="1">{#N/A,#N/A,FALSE,"KA CH  (2)"}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k" hidden="1">{#N/A,#N/A,FALSE,"Tabl. D1";#N/A,#N/A,FALSE,"Tabl. D1 b";#N/A,#N/A,FALSE,"Tabl. D2";#N/A,#N/A,FALSE,"Tabl. D2 b";#N/A,#N/A,FALSE,"Tabl. D3";#N/A,#N/A,FALSE,"Tabl. D4";#N/A,#N/A,FALSE,"Tabl. D5"}</definedName>
    <definedName name="jh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m" hidden="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jj">#N/A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_control" hidden="1">{"'August 2000'!$A$1:$J$101"}</definedName>
    <definedName name="jjh" hidden="1">{TRUE,TRUE,-1.25,-15.5,484.5,255,FALSE,FALSE,TRUE,FALSE,0,2,16,1,6,13,5,4,TRUE,TRUE,3,TRUE,1,TRUE,75,"Swvu.A.","ACwvu.A.",#N/A,FALSE,FALSE,0.2,0.22,1,0.641,2,"&amp;L&amp;""Arial,Bold""&amp;11Essar Projects LimitedEOL Refinery Project&amp;C&amp;""Arial,Bold""&amp;14TOTAL REFINERY PROJECTREFINERY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{#N/A,#N/A,FALSE,"REPORT"}</definedName>
    <definedName name="JJJF">#REF!</definedName>
    <definedName name="jjjj">#REF!</definedName>
    <definedName name="jjjjjj" hidden="1">{"'OBT_6M_30_6'!$S$1:$AE$53"}</definedName>
    <definedName name="jjjjjjjjjj">#REF!</definedName>
    <definedName name="jjjjjjjjjjjjjj" hidden="1">{"page 1",#N/A,FALSE,"A";"page 2",#N/A,FALSE,"A";"page 3",#N/A,FALSE,"A";"page 4",#N/A,FALSE,"A";"page 5",#N/A,FALSE,"A"}</definedName>
    <definedName name="JJKJKJL" hidden="1">{"'Mach'!$A$1:$D$39"}</definedName>
    <definedName name="jk" hidden="1">{"A Performance Report",#N/A,FALSE,"%Performance"}</definedName>
    <definedName name="jkhuky">#REF!</definedName>
    <definedName name="jki">#REF!</definedName>
    <definedName name="jkiu" hidden="1">{#N/A,"PURCHM",FALSE,"Business Analysis";#N/A,"SPADD",FALSE,"Business Analysis"}</definedName>
    <definedName name="jkjhk">#REF!</definedName>
    <definedName name="jkjk" hidden="1">{#N/A,#N/A,FALSE,"FFM"}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klkl" hidden="1">{#N/A,#N/A,FALSE,"FFM"}</definedName>
    <definedName name="jkl" hidden="1">{"A Performance Report",#N/A,FALSE,"%Performance"}</definedName>
    <definedName name="jklj" hidden="1">{"TOTAL",#N/A,FALSE,"A";"FISCAL94",#N/A,FALSE,"A";"FISCAL95",#N/A,FALSE,"A";"FISCAL96",#N/A,FALSE,"A";"misc page",#N/A,FALSE,"A"}</definedName>
    <definedName name="JKLJPO">#REF!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opp" hidden="1">{"A COM Detail YTD",#N/A,FALSE,"DATA";"B Exp Detail YTD",#N/A,FALSE,"DATA"}</definedName>
    <definedName name="jkwsd" hidden="1">{"detail",#N/A,FALSE,"mfg";"summary",#N/A,FALSE,"mfg"}</definedName>
    <definedName name="jlg">#REF!</definedName>
    <definedName name="JLW">#REF!</definedName>
    <definedName name="JM">#REF!</definedName>
    <definedName name="jnbid" hidden="1">{"detail",#N/A,FALSE,"mfg";"summary",#N/A,FALSE,"mfg"}</definedName>
    <definedName name="JNTCMB">#REF!</definedName>
    <definedName name="JNTCYOS2">#REF!</definedName>
    <definedName name="JNTEXP">#REF!</definedName>
    <definedName name="Joch">#REF!</definedName>
    <definedName name="JòJMòJ" hidden="1">{"'BGT2001'!$A$1:$AE$112"}</definedName>
    <definedName name="JOKEN">#REF!</definedName>
    <definedName name="jomn" hidden="1">{"pro_view",#N/A,FALSE,"EEFSNAP2";"rep_view",#N/A,FALSE,"EEFSNAP2"}</definedName>
    <definedName name="jöuiuiuzi" hidden="1">{#N/A,#N/A,FALSE,"Umsatz 99";#N/A,#N/A,FALSE,"ER 99 "}</definedName>
    <definedName name="JOURNAL">#REF!</definedName>
    <definedName name="JournalCode">#REF!</definedName>
    <definedName name="JP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JPYcashpaid">#REF!</definedName>
    <definedName name="JPYcashrecd">#REF!</definedName>
    <definedName name="JPYdivrecbl">#REF!</definedName>
    <definedName name="JPYexp">#REF!</definedName>
    <definedName name="JPYexppayable">#REF!</definedName>
    <definedName name="JPYinc">#REF!</definedName>
    <definedName name="JPYpayable">#REF!</definedName>
    <definedName name="JPYrecbl">#REF!</definedName>
    <definedName name="jrj" hidden="1">{#N/A,#N/A,FALSE,"Financial";#N/A,#N/A,FALSE,"Balance Sheet";#N/A,#N/A,FALSE,"Income stmt";#N/A,#N/A,FALSE,"Ratio"}</definedName>
    <definedName name="JRN" hidden="1">{#N/A,#N/A,FALSE,"Tabl. FB300";#N/A,#N/A,FALSE,"Tabl. FB350";#N/A,#N/A,FALSE,"Tabl. FB400";#N/A,#N/A,FALSE,"Tabl. FB500";#N/A,#N/A,FALSE,"Tabl. FS090"}</definedName>
    <definedName name="jsk">#REF!</definedName>
    <definedName name="jsrthdf" hidden="1">{#N/A,#N/A,TRUE,"SCR-LA 2000";#N/A,#N/A,TRUE,"SCR-LA 2001";#N/A,#N/A,TRUE,"SCR-LA 2002";#N/A,#N/A,TRUE,"SCR-LA 2003"}</definedName>
    <definedName name="jtr" hidden="1">{#N/A,#N/A,TRUE,"SCR-LA 2000";#N/A,#N/A,TRUE,"SCR-LA 2001";#N/A,#N/A,TRUE,"SCR-LA 2002";#N/A,#N/A,TRUE,"SCR-LA 2003"}</definedName>
    <definedName name="ju" hidden="1">{#N/A,#N/A,TRUE,"SCR-LA 2001";#N/A,#N/A,TRUE,"2001 TOTAL";#N/A,#N/A,TRUE,"2001 Puerto Rico";#N/A,#N/A,TRUE,"2001 Argentina";#N/A,#N/A,TRUE,"2001 Brazil";#N/A,#N/A,TRUE,"2001 Venezuela";#N/A,#N/A,TRUE,"2001 Chile";#N/A,#N/A,TRUE,"2001 Other Latin America"}</definedName>
    <definedName name="judy" hidden="1">{#N/A,#N/A,FALSE,"Pharm";#N/A,#N/A,FALSE,"WWCM"}</definedName>
    <definedName name="judy1" hidden="1">{#N/A,#N/A,FALSE,"Pharm";#N/A,#N/A,FALSE,"WWCM"}</definedName>
    <definedName name="jui" hidden="1">{"YD OTHER",#N/A,FALSE,"YTD"}</definedName>
    <definedName name="juio" hidden="1">{"Page 1",#N/A,FALSE,"OpExJanVsPY";"Page 2",#N/A,FALSE,"OpExJanVsPY"}</definedName>
    <definedName name="JUL">#REF!</definedName>
    <definedName name="JulEur">#REF!</definedName>
    <definedName name="Jully">#REF!</definedName>
    <definedName name="JULPLAN">#REF!</definedName>
    <definedName name="julpy">#REF!</definedName>
    <definedName name="JulUSD">#REF!</definedName>
    <definedName name="july">#REF!</definedName>
    <definedName name="JUN">#REF!</definedName>
    <definedName name="june">#REF!</definedName>
    <definedName name="June05_final">#REF!</definedName>
    <definedName name="june15_Ajustmenst" hidden="1">#REF!</definedName>
    <definedName name="JunEur">#REF!</definedName>
    <definedName name="JUNPLAN">#REF!</definedName>
    <definedName name="JunUSD">#REF!</definedName>
    <definedName name="jy" hidden="1">{#N/A,#N/A,FALSE,"FFM"}</definedName>
    <definedName name="k" hidden="1">#REF!</definedName>
    <definedName name="kachhi">#REF!</definedName>
    <definedName name="KalbeDuty5">#REF!</definedName>
    <definedName name="KalbeDuty7">#REF!</definedName>
    <definedName name="KalbeDuty8">#REF!</definedName>
    <definedName name="KalbeStock5">#REF!</definedName>
    <definedName name="KalbeStock7">#REF!</definedName>
    <definedName name="KalbeStock8">#REF!</definedName>
    <definedName name="KalbeVAT5">#REF!</definedName>
    <definedName name="KalbeVAT8">#REF!</definedName>
    <definedName name="Kamalanga">#REF!</definedName>
    <definedName name="kamalls">#N/A</definedName>
    <definedName name="kamals">Scheduled_Payment+Extra_Payment</definedName>
    <definedName name="kamalsls">#REF!</definedName>
    <definedName name="KANCHAN">#REF!</definedName>
    <definedName name="kaori">#REF!</definedName>
    <definedName name="KASDFASDFK">#REF!</definedName>
    <definedName name="kazuyo">#REF!</definedName>
    <definedName name="kbace">#REF!</definedName>
    <definedName name="kbace_16">#REF!</definedName>
    <definedName name="kbace_17">#REF!</definedName>
    <definedName name="kbace_4">#REF!</definedName>
    <definedName name="KC">#REF!</definedName>
    <definedName name="kcong">#REF!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df">#REF!</definedName>
    <definedName name="kdien">#REF!</definedName>
    <definedName name="Kerala">#REF!</definedName>
    <definedName name="Ketoprofen">#REF!</definedName>
    <definedName name="Kettex">#REF!</definedName>
    <definedName name="kettex98">#REF!</definedName>
    <definedName name="kew">#REF!</definedName>
    <definedName name="key" hidden="1">#REF!</definedName>
    <definedName name="Key_2" hidden="1">#REF!</definedName>
    <definedName name="Key_A_CAT">#REF!</definedName>
    <definedName name="Key_A_ELEM">#REF!</definedName>
    <definedName name="Key_A_OPSEC">#REF!</definedName>
    <definedName name="Key_A_PER">#REF!</definedName>
    <definedName name="Key_A_TCUR">#REF!</definedName>
    <definedName name="Key_A_TOFR">#REF!</definedName>
    <definedName name="Key_A_UNIT">#REF!</definedName>
    <definedName name="Key_A1_CAT">#REF!</definedName>
    <definedName name="Key_A1_ELEM">#REF!</definedName>
    <definedName name="Key_A1_OPSEC">#REF!</definedName>
    <definedName name="Key_A1_PER">#REF!</definedName>
    <definedName name="Key_A1_TCUR">#REF!</definedName>
    <definedName name="Key_A1_TOFR">#REF!</definedName>
    <definedName name="Key_A1_UNIT">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#REF!</definedName>
    <definedName name="Key_Highlights">#REF!</definedName>
    <definedName name="KEY_RATIOS">#REF!</definedName>
    <definedName name="KEYEP">#REF!</definedName>
    <definedName name="keyind">#REF!</definedName>
    <definedName name="KEYIND_WKGEP">#REF!</definedName>
    <definedName name="KEYTCF">#REF!</definedName>
    <definedName name="kgj">#REF!</definedName>
    <definedName name="kgjgj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KGP">#REF!</definedName>
    <definedName name="kgprtgr">#N/A</definedName>
    <definedName name="KGS">#REF!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ac">2</definedName>
    <definedName name="khhkkhk" hidden="1">{#N/A,#N/A,FALSE,"Profit Status";#N/A,#N/A,FALSE,"Invest";#N/A,#N/A,FALSE,"Revenue";#N/A,#N/A,FALSE,"Variable Cost";#N/A,#N/A,FALSE,"Options &amp; Series"}</definedName>
    <definedName name="khhkkhk_2" hidden="1">{#N/A,#N/A,FALSE,"Profit Status";#N/A,#N/A,FALSE,"Invest";#N/A,#N/A,FALSE,"Revenue";#N/A,#N/A,FALSE,"Variable Cost";#N/A,#N/A,FALSE,"Options &amp; Series"}</definedName>
    <definedName name="KHJK">#REF!</definedName>
    <definedName name="khkh" hidden="1">#REF!</definedName>
    <definedName name="KhuyenmaiUPS">"AutoShape 264"</definedName>
    <definedName name="KI">#REF!</definedName>
    <definedName name="ki_g">#REF!</definedName>
    <definedName name="ki_m">#REF!</definedName>
    <definedName name="ki_mg">#REF!</definedName>
    <definedName name="Kiem_tra_trung_ten">#REF!</definedName>
    <definedName name="kinjs" hidden="1">{"detail",#N/A,FALSE,"mfg";"summary",#N/A,FALSE,"mfg"}</definedName>
    <definedName name="kip" hidden="1">{"detail",#N/A,FALSE,"mfg";"summary",#N/A,FALSE,"mfg"}</definedName>
    <definedName name="kj" hidden="1">{#N/A,#N/A,TRUE,"Argentina";#N/A,#N/A,TRUE,"Brazil";#N/A,#N/A,TRUE,"Venezuela";#N/A,#N/A,TRUE,"Chile";#N/A,#N/A,TRUE,"Other LA";#N/A,#N/A,TRUE,"Puerto Rico"}</definedName>
    <definedName name="kjashdkjhFDAK" hidden="1">{"'Sheet1'!$J$12","'Sheet1'!$F$8"}</definedName>
    <definedName name="KJBMBMBN" hidden="1">{"'OBT_6M_30_6'!$S$1:$AE$53"}</definedName>
    <definedName name="kjcvdk">#REF!</definedName>
    <definedName name="kjf" hidden="1">{#N/A,#N/A,TRUE,"SCR-LA 2000";#N/A,#N/A,TRUE,"SCR-LA 2001";#N/A,#N/A,TRUE,"SCR-LA 2002";#N/A,#N/A,TRUE,"SCR-LA 2003"}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hidden="1">{#N/A,#N/A,FALSE,"Tabl. FB300";#N/A,#N/A,FALSE,"Tabl. FB350";#N/A,#N/A,FALSE,"Tabl. FB400";#N/A,#N/A,FALSE,"Tabl. FB500";#N/A,#N/A,FALSE,"Tabl. FS090"}</definedName>
    <definedName name="kjhg" hidden="1">{"ICD Details",#N/A,FALSE,"Current Yr";"ICD Details",#N/A,FALSE,"Budget";"ICD Details",#N/A,FALSE,"Prior Year"}</definedName>
    <definedName name="KJHSAKJHA" hidden="1">#REF!</definedName>
    <definedName name="kjip" hidden="1">{"detail",#N/A,FALSE,"mfg";"summary",#N/A,FALSE,"mfg"}</definedName>
    <definedName name="kjj" hidden="1">{"A Performance Report",#N/A,FALSE,"%Performance"}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kk" hidden="1">{"'BGT2001'!$A$1:$AE$112"}</definedName>
    <definedName name="kjl" hidden="1">{"A Performance Report",#N/A,FALSE,"%Performance"}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k" hidden="1">{"A Performance Report",#N/A,FALSE,"%Performance"}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K" hidden="1">{"'I-1 and I-2'!$A$1:$G$190"}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k" hidden="1">#REF!</definedName>
    <definedName name="kkkk.llll" hidden="1">{#N/A,#N/A,FALSE,"Umsatz 99";#N/A,#N/A,FALSE,"ER 99 "}</definedName>
    <definedName name="kkkkk" hidden="1">{"Full view",#N/A,FALSE,"Market view";"Full view",#N/A,FALSE,"Market view"}</definedName>
    <definedName name="KKKKKKKKKKK">#REF!</definedName>
    <definedName name="kkkkkkkkkkkkk" hidden="1">{"page 1",#N/A,FALSE,"A";"page 2",#N/A,FALSE,"A";"page 3",#N/A,FALSE,"A";"page 4",#N/A,FALSE,"A";"page 5",#N/A,FALSE,"A"}</definedName>
    <definedName name="KKR">#REF!</definedName>
    <definedName name="kl" hidden="1">{#N/A,#N/A,FALSE,"FFM"}</definedName>
    <definedName name="KLD" hidden="1">{#N/A,#N/A,FALSE,"Tabl. A1";#N/A,#N/A,FALSE,"Tabl. A1 b";#N/A,#N/A,FALSE,"Tabl. A2";#N/A,#N/A,FALSE,"Tabl. A2-1";#N/A,#N/A,FALSE,"Tabl. A2-2"}</definedName>
    <definedName name="KLE" hidden="1">{#N/A,#N/A,FALSE,"Tabl. H1";#N/A,#N/A,FALSE,"Tabl. H2"}</definedName>
    <definedName name="klgòlòb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lgòlòbl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lj" hidden="1">{"A COM Detail YTD",#N/A,FALSE,"DATA";"B Exp Detail YTD",#N/A,FALSE,"DATA"}</definedName>
    <definedName name="kljj" hidden="1">{"A COM Detail YTD",#N/A,FALSE,"DATA";"B Exp Detail YTD",#N/A,FALSE,"DATA"}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K" hidden="1">{#N/A,#N/A,FALSE,"OSBL"}</definedName>
    <definedName name="KLKK_1" hidden="1">{#N/A,#N/A,FALSE,"OSBL"}</definedName>
    <definedName name="KLKK_2" hidden="1">{#N/A,#N/A,FALSE,"OSBL"}</definedName>
    <definedName name="KLKK_3" hidden="1">{#N/A,#N/A,FALSE,"OSBL"}</definedName>
    <definedName name="KLKK_4" hidden="1">{#N/A,#N/A,FALSE,"OSBL"}</definedName>
    <definedName name="klklkl" hidden="1">{#N/A,#N/A,FALSE,"Umsatz 99";#N/A,#N/A,FALSE,"ER 99 "}</definedName>
    <definedName name="klm.gtg02" hidden="1">{#N/A,#N/A,FALSE,"BS"}</definedName>
    <definedName name="klñ" hidden="1">{"AS REP",#N/A,FALSE,"EEFSNAP2";"PROP",#N/A,FALSE,"EEFSNAP2";"RISKS",#N/A,FALSE,"EEFSNAP2";"VIEW ALL",#N/A,FALSE,"EEFSNAP2"}</definedName>
    <definedName name="KLP">#REF!</definedName>
    <definedName name="km" hidden="1">{"pro_view",#N/A,FALSE,"EEFSNAP2";"rep_view",#N/A,FALSE,"EEFSNAP2"}</definedName>
    <definedName name="KM1AD">#REF!</definedName>
    <definedName name="KM1ARL">#REF!</definedName>
    <definedName name="KM1BLD">#REF!</definedName>
    <definedName name="KM1BRL">#REF!</definedName>
    <definedName name="KM1CLCF">#REF!</definedName>
    <definedName name="KM1CLCP">#REF!</definedName>
    <definedName name="KM1CLF">#REF!</definedName>
    <definedName name="KM1CLP">#REF!</definedName>
    <definedName name="KM1DF">#REF!</definedName>
    <definedName name="KM1DP">#REF!</definedName>
    <definedName name="KM1MR">#REF!</definedName>
    <definedName name="KM1OP">#REF!</definedName>
    <definedName name="KM1RL">#REF!</definedName>
    <definedName name="KM1SAF">#REF!</definedName>
    <definedName name="KM1SAP">#REF!</definedName>
    <definedName name="KM2CLF">#REF!</definedName>
    <definedName name="KM2CLP">#REF!</definedName>
    <definedName name="KM2DF">#REF!</definedName>
    <definedName name="KM2DP">#REF!</definedName>
    <definedName name="KM2MR">#REF!</definedName>
    <definedName name="KM2RL">#REF!</definedName>
    <definedName name="KM2SAF">#REF!</definedName>
    <definedName name="KM2SAP">#REF!</definedName>
    <definedName name="KM3CLF">#REF!</definedName>
    <definedName name="KM3CLP">#REF!</definedName>
    <definedName name="KM3DF">#REF!</definedName>
    <definedName name="KM3DP">#REF!</definedName>
    <definedName name="KM3MR">#REF!</definedName>
    <definedName name="KM3RL">#REF!</definedName>
    <definedName name="KM3SAF">#REF!</definedName>
    <definedName name="KM3SAP">#REF!</definedName>
    <definedName name="kmg">#REF!</definedName>
    <definedName name="KMGA">#REF!</definedName>
    <definedName name="KMGS">#REF!</definedName>
    <definedName name="KMW">#REF!</definedName>
    <definedName name="KO">#REF!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l">#REF!</definedName>
    <definedName name="KOO">#REF!</definedName>
    <definedName name="Korea_Beru">#REF!</definedName>
    <definedName name="Korea_DensoPoongsun">#REF!</definedName>
    <definedName name="Korea_KFM">#REF!</definedName>
    <definedName name="KOREA_PLASTIC_in_KUSD">#REF!</definedName>
    <definedName name="Korea_YooSung">#REF!</definedName>
    <definedName name="kou" hidden="1">{"detail",#N/A,FALSE,"mfg";"summary",#N/A,FALSE,"mfg"}</definedName>
    <definedName name="KP_INV_FREIGHT_F216">#REF!</definedName>
    <definedName name="KPC">#REF!</definedName>
    <definedName name="KPMG">#REF!</definedName>
    <definedName name="kpmg12" hidden="1">#REF!</definedName>
    <definedName name="kpmg7" hidden="1">#REF!</definedName>
    <definedName name="kpmg9" hidden="1">#REF!</definedName>
    <definedName name="kppl">#REF!</definedName>
    <definedName name="kpplratio">#REF!</definedName>
    <definedName name="kr">{#N/A,#N/A,FALSE,"AUDIT-MWOS"}</definedName>
    <definedName name="KRIFGNVBG" hidden="1">{"'OBT_6M_30_6'!$S$1:$AE$53"}</definedName>
    <definedName name="KRISH">#REF!</definedName>
    <definedName name="krrps">#REF!</definedName>
    <definedName name="KRSIH">#REF!</definedName>
    <definedName name="ks" hidden="1">{#N/A,#N/A,FALSE,"COVER.XLS";#N/A,#N/A,FALSE,"RACT1.XLS";#N/A,#N/A,FALSE,"RACT2.XLS";#N/A,#N/A,FALSE,"ECCMP";#N/A,#N/A,FALSE,"WELDER.XLS"}</definedName>
    <definedName name="ksjgfd">#REF!</definedName>
    <definedName name="kskk" hidden="1">{#N/A,#N/A,FALSE,"COVER.XLS";#N/A,#N/A,FALSE,"RACT1.XLS";#N/A,#N/A,FALSE,"RACT2.XLS";#N/A,#N/A,FALSE,"ECCMP";#N/A,#N/A,FALSE,"WELDER.XLS"}</definedName>
    <definedName name="kslkjkjlkjd" hidden="1">{#N/A,#N/A,FALSE,"REPORT"}</definedName>
    <definedName name="ku">#REF!</definedName>
    <definedName name="kuf" hidden="1">{#N/A,#N/A,TRUE,"SCR-LA 2000";#N/A,#N/A,TRUE,"SCR-LA 2001";#N/A,#N/A,TRUE,"SCR-LA 2002";#N/A,#N/A,TRUE,"SCR-LA 2003"}</definedName>
    <definedName name="kurkure">#REF!</definedName>
    <definedName name="Kurstabelle">#REF!</definedName>
    <definedName name="KUSH">#REF!</definedName>
    <definedName name="KUULSD" hidden="1">{#N/A,#N/A,FALSE,"COMP"}</definedName>
    <definedName name="Kuyan">{"Client Name or Project Name"}</definedName>
    <definedName name="kv" hidden="1">{#N/A,#N/A,FALSE,"COVER1.XLS ";#N/A,#N/A,FALSE,"RACT1.XLS";#N/A,#N/A,FALSE,"RACT2.XLS";#N/A,#N/A,FALSE,"ECCMP";#N/A,#N/A,FALSE,"WELDER.XLS"}</definedName>
    <definedName name="KV_AC">#REF!</definedName>
    <definedName name="KVC">#REF!</definedName>
    <definedName name="kvs" hidden="1">{#N/A,#N/A,FALSE,"COVER1.XLS ";#N/A,#N/A,FALSE,"RACT1.XLS";#N/A,#N/A,FALSE,"RACT2.XLS";#N/A,#N/A,FALSE,"ECCMP";#N/A,#N/A,FALSE,"WELDER.XLS"}</definedName>
    <definedName name="kvv" hidden="1">{#N/A,#N/A,FALSE,"COVER.XLS";#N/A,#N/A,FALSE,"RACT1.XLS";#N/A,#N/A,FALSE,"RACT2.XLS";#N/A,#N/A,FALSE,"ECCMP";#N/A,#N/A,FALSE,"WELDER.XLS"}</definedName>
    <definedName name="kyd.CounterLimitCell.01." hidden="1">"x"</definedName>
    <definedName name="kyd.Dim.01." hidden="1">"local:Company"</definedName>
    <definedName name="kyd.ElementList.01." hidden="1">#REF!</definedName>
    <definedName name="kyd.ElementType.01." hidden="1">3</definedName>
    <definedName name="kyd.ItemType.01." hidden="1">2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"FormatReport"</definedName>
    <definedName name="kyd.MacroEndOfEachCycle." hidden="1">""</definedName>
    <definedName name="kyd.MacroStartOfProc." hidden="1">""</definedName>
    <definedName name="kyd.MemoCtrlNum." hidden="1">0</definedName>
    <definedName name="kyd.MemoSortHide." hidden="1">FALSE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Memo." hidden="1">FALSE</definedName>
    <definedName name="kyd.PrintParent.01." hidden="1">TRUE</definedName>
    <definedName name="kyd.PrintStdWhen." hidden="1">3</definedName>
    <definedName name="kyd.PrintToWbk." hidden="1">FALSE</definedName>
    <definedName name="kyd.ProcessInCycle." hidden="1">FALSE</definedName>
    <definedName name="kyd.SaveAsFile." hidden="1">FALSE</definedName>
    <definedName name="kyd.SaveMemo." hidden="1">FALSE</definedName>
    <definedName name="kyd.SelectString.01." hidden="1">"*"</definedName>
    <definedName name="kyd.Shortcut." hidden="1">FALSE</definedName>
    <definedName name="kyd.StdSortHide." hidden="1">FALSE</definedName>
    <definedName name="kyd.StopRow." hidden="1">65536</definedName>
    <definedName name="kyd.WriteMemWhenOptn." hidden="1">3</definedName>
    <definedName name="KZ">#REF!</definedName>
    <definedName name="KZT">#REF!</definedName>
    <definedName name="l">#REF!</definedName>
    <definedName name="l_70">#REF!</definedName>
    <definedName name="L_A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1_">#REF!</definedName>
    <definedName name="L23_">#REF!</definedName>
    <definedName name="LA">#REF!</definedName>
    <definedName name="LA_ADV_CAPTAL_EXPENDITURE">#REF!</definedName>
    <definedName name="la_asp">#REF!</definedName>
    <definedName name="la_bklg">#REF!</definedName>
    <definedName name="LA_detail">#REF!</definedName>
    <definedName name="LA_FURNITURE">#REF!</definedName>
    <definedName name="LA_LEASE_TERMINAL_ADJUSTMENT">#REF!</definedName>
    <definedName name="LA_PLANT_Air_Conditioners">#REF!</definedName>
    <definedName name="LA_PLANT_Computers">#REF!</definedName>
    <definedName name="LA_PLANT_General">#REF!</definedName>
    <definedName name="LA_PLANT_Leased_Assets">#REF!</definedName>
    <definedName name="LA_PLANT_Office_Equipments">#REF!</definedName>
    <definedName name="LA_PLANT_Telephone_Equipments">#REF!</definedName>
    <definedName name="la_si">#REF!</definedName>
    <definedName name="lab_equ">#REF!</definedName>
    <definedName name="LABEL">#REF!</definedName>
    <definedName name="LABELTEXTCOLUMN1">#REF!</definedName>
    <definedName name="LABELTEXTCOLUMN2">#REF!</definedName>
    <definedName name="LABELTEXTCOLUMN3">#REF!</definedName>
    <definedName name="LABELTEXTROW1">#REF!</definedName>
    <definedName name="LABELTEXTROW2">#REF!</definedName>
    <definedName name="LABELTEXTROW3">#REF!</definedName>
    <definedName name="Labor_rate">#REF!</definedName>
    <definedName name="labor_to_go">#REF!</definedName>
    <definedName name="LAC">#REF!</definedName>
    <definedName name="Lacs">100000</definedName>
    <definedName name="LACTUM_CONSUMPTION">#REF!</definedName>
    <definedName name="Lakh">100000</definedName>
    <definedName name="LAKHS">1/100000</definedName>
    <definedName name="Lamba_per_year_Routemiles">#REF!</definedName>
    <definedName name="lambda">#REF!</definedName>
    <definedName name="LAN">#REF!</definedName>
    <definedName name="LAND">#REF!</definedName>
    <definedName name="Land_adv">#REF!</definedName>
    <definedName name="Land_details">#REF!</definedName>
    <definedName name="lanes">#REF!</definedName>
    <definedName name="LANprod1">#REF!</definedName>
    <definedName name="LANprod2">#REF!</definedName>
    <definedName name="laptopcost">#REF!</definedName>
    <definedName name="Largeur">#REF!</definedName>
    <definedName name="LARSEN_AND_TUBRO">#REF!</definedName>
    <definedName name="las">#N/A</definedName>
    <definedName name="last">#REF!</definedName>
    <definedName name="Last_Row">#N/A</definedName>
    <definedName name="Last_Update">#REF!</definedName>
    <definedName name="Last_Year">#REF!</definedName>
    <definedName name="LastVariant">#REF!</definedName>
    <definedName name="lat_inv">#REF!</definedName>
    <definedName name="LATHA">#REF!</definedName>
    <definedName name="Lays">#REF!</definedName>
    <definedName name="lb">#N/A</definedName>
    <definedName name="LBODATE">#REF!</definedName>
    <definedName name="LBODATE1">#REF!</definedName>
    <definedName name="LBS">#REF!</definedName>
    <definedName name="LC">#REF!</definedName>
    <definedName name="LC__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2" hidden="1">{#N/A,#N/A,FALSE,"PMTABB";#N/A,#N/A,FALSE,"PMTABB"}</definedName>
    <definedName name="LC_3" hidden="1">{#N/A,#N/A,FALSE,"PMTABB";#N/A,#N/A,FALSE,"PMTABB"}</definedName>
    <definedName name="LC_4" hidden="1">{#N/A,#N/A,FALSE,"PMTABB";#N/A,#N/A,FALSE,"PMTABB"}</definedName>
    <definedName name="LC_99">160400</definedName>
    <definedName name="LC_DB">#REF!</definedName>
    <definedName name="LC_DF">#REF!</definedName>
    <definedName name="LC_EM">#REF!</definedName>
    <definedName name="LC_HP">#REF!</definedName>
    <definedName name="LC_KR">#REF!</definedName>
    <definedName name="LC_LIMITS">#REF!</definedName>
    <definedName name="LC_MOVEMENT">#REF!</definedName>
    <definedName name="LC_OB">#REF!</definedName>
    <definedName name="LC3??">#N/A</definedName>
    <definedName name="LC3차서">#N/A</definedName>
    <definedName name="LC5_total">#REF!</definedName>
    <definedName name="LC6_total">#REF!</definedName>
    <definedName name="lcpayments">#REF!</definedName>
    <definedName name="LCW">#REF!</definedName>
    <definedName name="ldkeir" hidden="1">{#N/A,"PURCHM",FALSE,"Business Analysis";#N/A,"SPADD",FALSE,"Business Analysis"}</definedName>
    <definedName name="LDS">#REF!</definedName>
    <definedName name="LE">#REF!</definedName>
    <definedName name="Lead" hidden="1">{#N/A,#N/A,FALSE,"Aging Summary";#N/A,#N/A,FALSE,"Ratio Analysis";#N/A,#N/A,FALSE,"Test 120 Day Accts";#N/A,#N/A,FALSE,"Tickmarks"}</definedName>
    <definedName name="Leasable_Area_1">#REF!</definedName>
    <definedName name="Leasable_Area_2">#REF!</definedName>
    <definedName name="Leasable_Area_3">#REF!</definedName>
    <definedName name="lease">#N/A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hold_Improvements">#REF!</definedName>
    <definedName name="Lease_hold_Land">#REF!</definedName>
    <definedName name="Lease_Penetration">#REF!</definedName>
    <definedName name="lease_q195">#REF!</definedName>
    <definedName name="LEASE_RENT">#REF!</definedName>
    <definedName name="LEASE_RENTALS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eased_Area_1">#REF!</definedName>
    <definedName name="Leased_Area_2">#REF!</definedName>
    <definedName name="Leased_Area_3">#REF!</definedName>
    <definedName name="Leasehold">#REF!</definedName>
    <definedName name="leaserent">#REF!</definedName>
    <definedName name="Leases">#N/A</definedName>
    <definedName name="leasess">#N/A</definedName>
    <definedName name="LeaveAccrual">#REF!</definedName>
    <definedName name="lee">#REF!</definedName>
    <definedName name="LEENA">#REF!</definedName>
    <definedName name="LeftButton">#N/A</definedName>
    <definedName name="LEGAJO">#REF!</definedName>
    <definedName name="Legal">#REF!</definedName>
    <definedName name="LEGENDE">#REF!</definedName>
    <definedName name="Lehar">#REF!</definedName>
    <definedName name="LeistungKostenstelle">#REF!</definedName>
    <definedName name="LENGTH">#REF!</definedName>
    <definedName name="LessLoanPavmentMonth1Actuals">#REF!</definedName>
    <definedName name="LessLoanPavmentMonth1Budget">#REF!</definedName>
    <definedName name="LessLoanPavmentMonth2Actuals">#REF!</definedName>
    <definedName name="LessLoanPavmentMonth2Budget">#REF!</definedName>
    <definedName name="LessLoanPavmentMonth3Actuals">#REF!</definedName>
    <definedName name="LessLoanPavmentMonth3Budget">#REF!</definedName>
    <definedName name="LessLoanPavmentMonth4Actuals">#REF!</definedName>
    <definedName name="LessLoanPavmentMonth4Budget">#REF!</definedName>
    <definedName name="LessLoanPavmentYTDActuals">#REF!</definedName>
    <definedName name="LessLoanPavmentYTDBudget">#REF!</definedName>
    <definedName name="LETTER">#REF!</definedName>
    <definedName name="Lever_Htr_Air_Distr_Valve__Floor">#REF!</definedName>
    <definedName name="leverage">#REF!</definedName>
    <definedName name="Levomepromazina">#REF!</definedName>
    <definedName name="lf">#REF!</definedName>
    <definedName name="LFL">#REF!</definedName>
    <definedName name="LG">#REF!</definedName>
    <definedName name="lhjlkjlhklhlj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hlhhj">{"SCB BG EXT",#N/A,FALSE,"ADVANCEBG-EXT.D"}</definedName>
    <definedName name="lia">#REF!</definedName>
    <definedName name="liab\inc\intt">#REF!</definedName>
    <definedName name="LIABILITIES20">#REF!</definedName>
    <definedName name="Liability">#N/A</definedName>
    <definedName name="LIABS">#REF!</definedName>
    <definedName name="liabs98">#REF!</definedName>
    <definedName name="liabs99">#REF!</definedName>
    <definedName name="Lib_termloan_int">#REF!</definedName>
    <definedName name="Lib_uloan">#REF!</definedName>
    <definedName name="lIBRARY">#REF!</definedName>
    <definedName name="LID">#REF!</definedName>
    <definedName name="lid_dsc">#REF!</definedName>
    <definedName name="LIDIA" hidden="1">{"'OBT_6M_30_6'!$S$1:$AE$53"}</definedName>
    <definedName name="LIDIA2" hidden="1">{"'OBT_6M_30_6'!$S$1:$AE$53"}</definedName>
    <definedName name="LIDIA3" hidden="1">{"'OBT_6M_30_6'!$S$1:$AE$53"}</definedName>
    <definedName name="LIDIA4" hidden="1">{"'OBT_6M_30_6'!$S$1:$AE$53"}</definedName>
    <definedName name="liebherr_risk">#REF!</definedName>
    <definedName name="Lighting" hidden="1">{#N/A,#N/A,FALSE,"Profit Status";#N/A,#N/A,FALSE,"Invest";#N/A,#N/A,FALSE,"Revenue";#N/A,#N/A,FALSE,"Variable Cost";#N/A,#N/A,FALSE,"Options &amp; Series"}</definedName>
    <definedName name="Lighting_2" hidden="1">{#N/A,#N/A,FALSE,"Profit Status";#N/A,#N/A,FALSE,"Invest";#N/A,#N/A,FALSE,"Revenue";#N/A,#N/A,FALSE,"Variable Cost";#N/A,#N/A,FALSE,"Options &amp; Series"}</definedName>
    <definedName name="lima">#REF!</definedName>
    <definedName name="limcount" hidden="1">1</definedName>
    <definedName name="limey" hidden="1">{#N/A,#N/A,FALSE,"Calc";#N/A,#N/A,FALSE,"Sensitivity";#N/A,#N/A,FALSE,"LT Earn.Dil.";#N/A,#N/A,FALSE,"Dil. AVP"}</definedName>
    <definedName name="Line">#REF!</definedName>
    <definedName name="link">#REF!</definedName>
    <definedName name="Link_Heater_Air_Door__defr">#REF!</definedName>
    <definedName name="linkpt">#REF!</definedName>
    <definedName name="Links">#REF!</definedName>
    <definedName name="LIQPL">#REF!</definedName>
    <definedName name="LiqRate">#REF!</definedName>
    <definedName name="LiqRate97">#REF!</definedName>
    <definedName name="LiqRate98">#REF!</definedName>
    <definedName name="Lire">#REF!</definedName>
    <definedName name="list">#REF!</definedName>
    <definedName name="List_1">#REF!</definedName>
    <definedName name="List_of_Material">#REF!</definedName>
    <definedName name="List_Price">#REF!</definedName>
    <definedName name="Liste">INDIRECT(#REF!)</definedName>
    <definedName name="ListOffset" hidden="1">1</definedName>
    <definedName name="ListOfSuperCriticalEquipment">#REF!</definedName>
    <definedName name="ListSheetsMacroButton">#REF!</definedName>
    <definedName name="ListYear">#REF!</definedName>
    <definedName name="LIT">#REF!</definedName>
    <definedName name="LiveReqs">#REF!</definedName>
    <definedName name="LJ" hidden="1">{#N/A,#N/A,FALSE,"SUMARIO";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;#N/A,#N/A,FALSE,"D17";#N/A,#N/A,FALSE,"D18";#N/A,#N/A,FALSE,"D19";#N/A,#N/A,FALSE,"D20";#N/A,#N/A,FALSE,"D21";#N/A,#N/A,FALSE,"D22";#N/A,#N/A,FALSE,"DLLS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LJJ" hidden="1">{#N/A,#N/A,FALSE,"FREE"}</definedName>
    <definedName name="LJLJJ_1" hidden="1">{#N/A,#N/A,FALSE,"FREE"}</definedName>
    <definedName name="LJLJJ_2" hidden="1">{#N/A,#N/A,FALSE,"FREE"}</definedName>
    <definedName name="LJLJJ_3" hidden="1">{#N/A,#N/A,FALSE,"FREE"}</definedName>
    <definedName name="LJLJJ_4" hidden="1">{#N/A,#N/A,FALSE,"FREE"}</definedName>
    <definedName name="lk" hidden="1">{"A Performance Report",#N/A,FALSE,"%Performance"}</definedName>
    <definedName name="lkajsdl" hidden="1">{0,0,0,0;0,0,0,0;0,0,0,0}</definedName>
    <definedName name="LKG" hidden="1">{#N/A,#N/A,FALSE,"Tabl. G1";#N/A,#N/A,FALSE,"Tabl. G2"}</definedName>
    <definedName name="lkj" hidden="1">{"A Performance Report",#N/A,FALSE,"%Performance"}</definedName>
    <definedName name="LKJL" hidden="1">{#N/A,#N/A,FALSE,"FINAL"}</definedName>
    <definedName name="lkjlkj" hidden="1">{"Final",#N/A,FALSE,"Feb-96"}</definedName>
    <definedName name="lkk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kkkk">#REF!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l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_control" hidden="1">{"'August 2000'!$A$1:$J$101"}</definedName>
    <definedName name="LLiving">#REF!</definedName>
    <definedName name="llk" hidden="1">{"pro_view",#N/A,FALSE,"EEFSNAP2";"rep_view",#N/A,FALSE,"EEFSNAP2"}</definedName>
    <definedName name="LLL">#REF!</definedName>
    <definedName name="llllll" hidden="1">{"detail",#N/A,FALSE,"mfg";"summary",#N/A,FALSE,"mfg"}</definedName>
    <definedName name="lllllllllllllllllllll" hidden="1">{"page 1",#N/A,FALSE,"A";"page 2",#N/A,FALSE,"A";"page 3",#N/A,FALSE,"A";"page 4",#N/A,FALSE,"A";"page 5",#N/A,FALSE,"A"}</definedName>
    <definedName name="llooj" hidden="1">{"'BGT2001'!$A$1:$AE$112"}</definedName>
    <definedName name="llp" hidden="1">{"YD LPH2",#N/A,FALSE,"YTD"}</definedName>
    <definedName name="llsdlasdk" hidden="1">{"SchK1",#N/A,FALSE,"Schedules";"SchK2",#N/A,FALSE,"Schedules"}</definedName>
    <definedName name="LLZZ">#REF!</definedName>
    <definedName name="lm_basic_recovery">#REF!</definedName>
    <definedName name="lm_excise_recovery">#REF!</definedName>
    <definedName name="lm_s_tax_recovery">#REF!</definedName>
    <definedName name="lmn">#REF!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nk">#REF!</definedName>
    <definedName name="lnkjlokhjo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lo" hidden="1">{#N/A,#N/A,TRUE,"SCR-LA 2000";#N/A,#N/A,TRUE,"SCR-LA 2001";#N/A,#N/A,TRUE,"SCR-LA 2002";#N/A,#N/A,TRUE,"SCR-LA 2003"}</definedName>
    <definedName name="Loan">IF(Payment_Number&lt;=Number_of_Payments,1,0)</definedName>
    <definedName name="Loan_Amount">#REF!</definedName>
    <definedName name="Loan_Not_Paid">IF(Payment_Number&lt;=Number_of_Payments,1,0)</definedName>
    <definedName name="Loan_Start">#REF!</definedName>
    <definedName name="loan_table1">#REF!</definedName>
    <definedName name="loan_table2">#REF!</definedName>
    <definedName name="loan_table3">#REF!</definedName>
    <definedName name="loan_table4">#REF!</definedName>
    <definedName name="loan_table5">#REF!</definedName>
    <definedName name="loan_table6">#REF!</definedName>
    <definedName name="Loan_Years">#REF!</definedName>
    <definedName name="loanint">#REF!</definedName>
    <definedName name="loankhil1">#REF!</definedName>
    <definedName name="loankhil2">#REF!</definedName>
    <definedName name="loanphil">#REF!</definedName>
    <definedName name="loanrepay">#REF!</definedName>
    <definedName name="Loans">#REF!</definedName>
    <definedName name="Loans.Advances">#REF!</definedName>
    <definedName name="loans_adv">#REF!</definedName>
    <definedName name="loansadvances">#REF!</definedName>
    <definedName name="LoansandAdvances">#REF!</definedName>
    <definedName name="Loansinvest">#REF!</definedName>
    <definedName name="loanthpl">#REF!</definedName>
    <definedName name="loanzipl">#REF!</definedName>
    <definedName name="loc">#REF!</definedName>
    <definedName name="LOC.SUPPLIER_NO">#REF!</definedName>
    <definedName name="LOCAL_FINAL">#REF!</definedName>
    <definedName name="Local_Freight">#REF!</definedName>
    <definedName name="LOCAL_MONTHLY">#REF!</definedName>
    <definedName name="LocalPay">#REF!</definedName>
    <definedName name="LocalPCDefaultDir">#REF!</definedName>
    <definedName name="LOCATION">#REF!</definedName>
    <definedName name="Location_Annual">#REF!</definedName>
    <definedName name="lokesh" hidden="1">#REF!</definedName>
    <definedName name="loks">#REF!</definedName>
    <definedName name="LongAssets">#REF!</definedName>
    <definedName name="LONGS">#REF!</definedName>
    <definedName name="Longueur">#REF!</definedName>
    <definedName name="lòòà" hidden="1">{#N/A,#N/A,FALSE,"Assumptions";#N/A,#N/A,FALSE,"Volumes";#N/A,#N/A,FALSE,"Pricing";#N/A,#N/A,FALSE,"Variable Cost";#N/A,#N/A,FALSE,"Investment";#N/A,#N/A,FALSE,"Profitability";#N/A,#N/A,FALSE,"Business Comparison"}</definedName>
    <definedName name="lòòà_2" hidden="1">{#N/A,#N/A,FALSE,"Assumptions";#N/A,#N/A,FALSE,"Volumes";#N/A,#N/A,FALSE,"Pricing";#N/A,#N/A,FALSE,"Variable Cost";#N/A,#N/A,FALSE,"Investment";#N/A,#N/A,FALSE,"Profitability";#N/A,#N/A,FALSE,"Business Comparison"}</definedName>
    <definedName name="look">#REF!</definedName>
    <definedName name="Lookup_PT">#REF!</definedName>
    <definedName name="lop">#REF!</definedName>
    <definedName name="LORA" hidden="1">{#N/A,#N/A,FALSE,"QC REVIEW"}</definedName>
    <definedName name="los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oss_gain">#REF!</definedName>
    <definedName name="LOSSCARRYFORWARD.MA">#REF!</definedName>
    <definedName name="LOSSES">#REF!</definedName>
    <definedName name="love" hidden="1">{"PAGE 1",#N/A,FALSE,"ES-01-XX";"PAGE 2",#N/A,FALSE,"ES-01-XX"}</definedName>
    <definedName name="Low_case_Dis">#REF!</definedName>
    <definedName name="Low_COGS">#REF!</definedName>
    <definedName name="LP">#N/A</definedName>
    <definedName name="LP_16">#REF!</definedName>
    <definedName name="LP_17">#REF!</definedName>
    <definedName name="LP_4">#REF!</definedName>
    <definedName name="LPOI">#REF!</definedName>
    <definedName name="lpoiuj" hidden="1">{"'BGT2001'!$A$1:$AE$112"}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R">#REF!</definedName>
    <definedName name="LRSEPT">#REF!</definedName>
    <definedName name="lrspet">#REF!</definedName>
    <definedName name="LSPivot_Changeover">#REF!</definedName>
    <definedName name="LSPivot_Current">#REF!</definedName>
    <definedName name="LSPivot_Prior">#REF!</definedName>
    <definedName name="LSTriggers">#REF!</definedName>
    <definedName name="LTA">#REF!</definedName>
    <definedName name="ltaccr">#REF!</definedName>
    <definedName name="ltamort">#REF!</definedName>
    <definedName name="ltcg">#REF!</definedName>
    <definedName name="ltcg.BFlossPrevYrUndSameHeadSetoff4">#REF!</definedName>
    <definedName name="ltcg.IncOfCurYrAfterSetOff2">#REF!</definedName>
    <definedName name="ltinvest">#REF!</definedName>
    <definedName name="Ltitle">#REF!</definedName>
    <definedName name="LTM">#REF!</definedName>
    <definedName name="ltpaid">#REF!</definedName>
    <definedName name="ltpurch">#REF!</definedName>
    <definedName name="ltre">#REF!</definedName>
    <definedName name="ltugl">#REF!</definedName>
    <definedName name="ltunreal">#REF!</definedName>
    <definedName name="LTYLTYKYYY" hidden="1">{"'OBT_6M_30_6'!$S$1:$AE$53"}</definedName>
    <definedName name="lundi" hidden="1">{#N/A,#N/A,FALSE,"Tabl. G1";#N/A,#N/A,FALSE,"Tabl. G2"}</definedName>
    <definedName name="lVC">#REF!</definedName>
    <definedName name="lysls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LZZZZ">#REF!</definedName>
    <definedName name="LZ목표">#REF!</definedName>
    <definedName name="m">#N/A</definedName>
    <definedName name="M.S.DESAI">#REF!</definedName>
    <definedName name="M?">#REF!</definedName>
    <definedName name="M_1">#REF!</definedName>
    <definedName name="M_16">#REF!</definedName>
    <definedName name="M_17">#REF!</definedName>
    <definedName name="M_2">#REF!</definedName>
    <definedName name="M_4">#REF!</definedName>
    <definedName name="M_O_R_________MAY__2000">#REF!</definedName>
    <definedName name="M_PLUS_G">#REF!</definedName>
    <definedName name="M0">#REF!</definedName>
    <definedName name="M0_16">#REF!</definedName>
    <definedName name="M0_17">#REF!</definedName>
    <definedName name="M0_4">#REF!</definedName>
    <definedName name="m100000000">#REF!</definedName>
    <definedName name="M5ZR1">#REF!</definedName>
    <definedName name="ma">#REF!</definedName>
    <definedName name="MA_BTS_SUMMARY">#REF!</definedName>
    <definedName name="MA_Plng_Resp">#REF!</definedName>
    <definedName name="ma67_16">#REF!</definedName>
    <definedName name="ma67_17">#REF!</definedName>
    <definedName name="ma67_4">#REF!</definedName>
    <definedName name="ma71_16">#REF!</definedName>
    <definedName name="ma71_17">#REF!</definedName>
    <definedName name="ma71_4">#REF!</definedName>
    <definedName name="ma74_16">#REF!</definedName>
    <definedName name="ma74_17">#REF!</definedName>
    <definedName name="ma74_4">#REF!</definedName>
    <definedName name="Mac5000basic">#REF!</definedName>
    <definedName name="Mac5k">#REF!</definedName>
    <definedName name="mac5kbasic">#REF!</definedName>
    <definedName name="mach_100percent">#REF!</definedName>
    <definedName name="mach_25percent">#REF!</definedName>
    <definedName name="MachineryCost">#REF!</definedName>
    <definedName name="macro" hidden="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acro1">#N/A</definedName>
    <definedName name="Macro10">#REF!</definedName>
    <definedName name="Macro11">#REF!</definedName>
    <definedName name="Macro12">#REF!</definedName>
    <definedName name="Macro13">#REF!</definedName>
    <definedName name="Macro15">#REF!</definedName>
    <definedName name="Macro16">#REF!</definedName>
    <definedName name="Macro2">#N/A</definedName>
    <definedName name="Macro21">#REF!</definedName>
    <definedName name="Macro23">#REF!</definedName>
    <definedName name="macro3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Macro6">#REF!</definedName>
    <definedName name="Macro8">#REF!</definedName>
    <definedName name="Macro9">#REF!</definedName>
    <definedName name="macroa" hidden="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MACROS">#REF!</definedName>
    <definedName name="madar">#REF!</definedName>
    <definedName name="Madopar">#REF!</definedName>
    <definedName name="Madras">#REF!</definedName>
    <definedName name="MaestroDuty7">#REF!</definedName>
    <definedName name="MaestroStock7">#REF!</definedName>
    <definedName name="MaestroVAT7">#REF!</definedName>
    <definedName name="Magazin">#REF!</definedName>
    <definedName name="Magix_Sales___JFM_2001">#REF!</definedName>
    <definedName name="Mah">0.4</definedName>
    <definedName name="mahesh">#REF!</definedName>
    <definedName name="mahlongs">#REF!</definedName>
    <definedName name="mahshorts">#REF!</definedName>
    <definedName name="MAIN">#REF!</definedName>
    <definedName name="Main_13">#REF!</definedName>
    <definedName name="Main_21">#REF!</definedName>
    <definedName name="Main_4">#REF!</definedName>
    <definedName name="MAIN_AB">#REF!</definedName>
    <definedName name="main_comp">#REF!</definedName>
    <definedName name="MAIN_CR">#REF!</definedName>
    <definedName name="MAIN_DB">#REF!</definedName>
    <definedName name="MAIN_DF">#REF!</definedName>
    <definedName name="MAIN_EN">#REF!</definedName>
    <definedName name="Main_File">"LBOB_1"</definedName>
    <definedName name="MAIN_MA">#REF!</definedName>
    <definedName name="MAINCOMP">#REF!</definedName>
    <definedName name="mainstores">#REF!</definedName>
    <definedName name="MainSummary">#REF!</definedName>
    <definedName name="MAINT">#REF!</definedName>
    <definedName name="MaintananceOthers">#REF!</definedName>
    <definedName name="Maintanencesundries">#REF!</definedName>
    <definedName name="MaintCont">#REF!</definedName>
    <definedName name="Maintenance">#REF!</definedName>
    <definedName name="maintstores">#REF!</definedName>
    <definedName name="MAIZ89">#REF!</definedName>
    <definedName name="MAIZ90">#REF!</definedName>
    <definedName name="MAJ_CON_EQP">#REF!</definedName>
    <definedName name="maji" hidden="1">{"detail",#N/A,FALSE,"mfg";"summary",#N/A,FALSE,"mfg"}</definedName>
    <definedName name="Major_Expenses___Expense_Head_wise">#REF!</definedName>
    <definedName name="Major_Products___Comparative_Sales_Analysis_Business_Manager_Wise____L_E_2005_Vs_Budget_2006__First_Cut">#REF!</definedName>
    <definedName name="mal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mall">#REF!</definedName>
    <definedName name="mallutl">#REF!</definedName>
    <definedName name="MAM">#REF!</definedName>
    <definedName name="mammoact">#REF!</definedName>
    <definedName name="mammostd">#REF!</definedName>
    <definedName name="MAN">#REF!</definedName>
    <definedName name="MAN_COUNT_BLOCK">#REF!</definedName>
    <definedName name="managefee">#REF!</definedName>
    <definedName name="MANAGEMENT">#REF!</definedName>
    <definedName name="MANAGEMENT.FEE">#REF!</definedName>
    <definedName name="manall">#REF!</definedName>
    <definedName name="MANAN">#N/A</definedName>
    <definedName name="MANEJO">#REF!</definedName>
    <definedName name="mangfee">#REF!</definedName>
    <definedName name="manira">#REF!</definedName>
    <definedName name="MANJUNATH" hidden="1">{"page 1",#N/A,FALSE,"A";"page 2",#N/A,FALSE,"A";"page 3",#N/A,FALSE,"A";"page 4",#N/A,FALSE,"A";"page 5",#N/A,FALSE,"A"}</definedName>
    <definedName name="Manoj">#REF!</definedName>
    <definedName name="manpower">#REF!</definedName>
    <definedName name="MANU_EXP">#REF!</definedName>
    <definedName name="MANUEL" hidden="1">{#N/A,#N/A,FALSE,"QC REVIEW"}</definedName>
    <definedName name="manufacturing">#REF!</definedName>
    <definedName name="map_table">#REF!</definedName>
    <definedName name="Mapp_t77">#REF!</definedName>
    <definedName name="Mapp_t85">#REF!</definedName>
    <definedName name="mapping">#REF!</definedName>
    <definedName name="MAR">#REF!</definedName>
    <definedName name="MAR_02">"hema"</definedName>
    <definedName name="March">#REF!</definedName>
    <definedName name="MARCH05">#REF!</definedName>
    <definedName name="March2008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mardi" hidden="1">{#N/A,#N/A,FALSE,"Tabl. H1";#N/A,#N/A,FALSE,"Tabl. H2"}</definedName>
    <definedName name="MarEur">#REF!</definedName>
    <definedName name="margi" hidden="1">{"page 1",#N/A,FALSE,"A";"page 2",#N/A,FALSE,"A";"page 3",#N/A,FALSE,"A";"page 4",#N/A,FALSE,"A";"page 5",#N/A,FALSE,"A"}</definedName>
    <definedName name="Margin">#REF!</definedName>
    <definedName name="Margin_Percent">#REF!</definedName>
    <definedName name="MARGINS">#REF!</definedName>
    <definedName name="MARIE">#REF!</definedName>
    <definedName name="MARINE">#N/A</definedName>
    <definedName name="MARKETING">#REF!</definedName>
    <definedName name="MARKF98L" hidden="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MARPLAN">#REF!</definedName>
    <definedName name="mars">#REF!</definedName>
    <definedName name="MARSBI">#REF!</definedName>
    <definedName name="MARTH">#REF!</definedName>
    <definedName name="MarUSD">#REF!</definedName>
    <definedName name="marvar">#REF!</definedName>
    <definedName name="mas">#REF!</definedName>
    <definedName name="masaru">#REF!</definedName>
    <definedName name="mass">{#N/A,#N/A,FALSE,"PMTABB";#N/A,#N/A,FALSE,"PMTABB"}</definedName>
    <definedName name="MASTER">#REF!</definedName>
    <definedName name="Master_Phase3" hidden="1">{"Full Summary",#N/A,FALSE,"Summary"}</definedName>
    <definedName name="MASTERBTS">#REF!</definedName>
    <definedName name="masterdata">#REF!</definedName>
    <definedName name="MastroDuty5">#REF!</definedName>
    <definedName name="MastroDuty8">#REF!</definedName>
    <definedName name="MastroStock5">#REF!</definedName>
    <definedName name="MastroStock8">#REF!</definedName>
    <definedName name="MastroVAT5">#REF!</definedName>
    <definedName name="MastroVAT8">#REF!</definedName>
    <definedName name="MAT">#REF!</definedName>
    <definedName name="Mat.Cons">#REF!</definedName>
    <definedName name="Mat_Ext">#REF!</definedName>
    <definedName name="MatActY1">#REF!</definedName>
    <definedName name="MatActY2">#REF!</definedName>
    <definedName name="MatBaseline">#REF!</definedName>
    <definedName name="matcomp">#REF!</definedName>
    <definedName name="MATERIAL">#REF!</definedName>
    <definedName name="Material_efficiency">#REF!</definedName>
    <definedName name="material_to_go">#REF!</definedName>
    <definedName name="Materiality">#REF!</definedName>
    <definedName name="materias">#REF!</definedName>
    <definedName name="MatFcstY1">#REF!</definedName>
    <definedName name="MatFcstY2">#REF!</definedName>
    <definedName name="Matière_pièce">#REF!</definedName>
    <definedName name="matit">#REF!</definedName>
    <definedName name="matnotes">#REF!</definedName>
    <definedName name="MatTable">#REF!</definedName>
    <definedName name="MAX">#REF!</definedName>
    <definedName name="maxdebt">#REF!</definedName>
    <definedName name="maxdebt_paste">#REF!</definedName>
    <definedName name="MAXIM_ROTCONFIRMATIONOFRELEASE">#REF!</definedName>
    <definedName name="may">#REF!</definedName>
    <definedName name="MayEur">#REF!</definedName>
    <definedName name="MAYPLAN">#REF!</definedName>
    <definedName name="mayumi">#REF!</definedName>
    <definedName name="MayUSD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D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OR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Çà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m_30">#REF!</definedName>
    <definedName name="mcm_31">#REF!</definedName>
    <definedName name="mcm_32">#REF!</definedName>
    <definedName name="mcm_33">#REF!</definedName>
    <definedName name="mcm_34">#REF!</definedName>
    <definedName name="mcm_40">#REF!</definedName>
    <definedName name="mcm_50">#REF!</definedName>
    <definedName name="mcm_51">#REF!</definedName>
    <definedName name="mcm_52">#REF!</definedName>
    <definedName name="mcm_53">#REF!</definedName>
    <definedName name="mcm_54">#REF!</definedName>
    <definedName name="mcm_55">#REF!</definedName>
    <definedName name="mcm_actual30">#REF!</definedName>
    <definedName name="mcm_actual31">#REF!</definedName>
    <definedName name="mcm_actual32">#REF!</definedName>
    <definedName name="mcm_actual33">#REF!</definedName>
    <definedName name="mcm_actual34">#REF!</definedName>
    <definedName name="mcm_actual40">#REF!</definedName>
    <definedName name="mcm_actual50">#REF!</definedName>
    <definedName name="mcm_actual51">#REF!</definedName>
    <definedName name="mcm_actual52">#REF!</definedName>
    <definedName name="mcm_actual53">#REF!</definedName>
    <definedName name="mcm_actual54">#REF!</definedName>
    <definedName name="mcm_actual55">#REF!</definedName>
    <definedName name="mcm_ae_ex">#REF!</definedName>
    <definedName name="mcm_ae_mh">#REF!</definedName>
    <definedName name="mcm_ae_mi">#REF!</definedName>
    <definedName name="mcm_ae_mlf">#REF!</definedName>
    <definedName name="mcm_as_ex">#REF!</definedName>
    <definedName name="mcm_as_mh">#REF!</definedName>
    <definedName name="mcm_as_mi">#REF!</definedName>
    <definedName name="mcm_as_mlf">#REF!</definedName>
    <definedName name="mcm_enc_ex">#REF!</definedName>
    <definedName name="mcm_enc_mh">#REF!</definedName>
    <definedName name="mcm_enc_mi">#REF!</definedName>
    <definedName name="mcm_enc_mlf">#REF!</definedName>
    <definedName name="MCMEXP">#REF!</definedName>
    <definedName name="MCMMON">#REF!</definedName>
    <definedName name="MCMPL">#REF!</definedName>
    <definedName name="MCMSAL">#REF!</definedName>
    <definedName name="MCOL">#REF!</definedName>
    <definedName name="mcuakl1.7">#REF!</definedName>
    <definedName name="mcurr">#REF!</definedName>
    <definedName name="MCVD">#REF!</definedName>
    <definedName name="md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DEVISES">#REF!,#REF!,#REF!</definedName>
    <definedName name="MDS">#REF!</definedName>
    <definedName name="MDVII">#REF!</definedName>
    <definedName name="me">#REF!</definedName>
    <definedName name="MEANS">#REF!</definedName>
    <definedName name="med_30">#REF!</definedName>
    <definedName name="med_31">#REF!</definedName>
    <definedName name="med_32">#REF!</definedName>
    <definedName name="med_33">#REF!</definedName>
    <definedName name="med_34">#REF!</definedName>
    <definedName name="med_40">#REF!</definedName>
    <definedName name="med_50">#REF!</definedName>
    <definedName name="med_51">#REF!</definedName>
    <definedName name="med_52">#REF!</definedName>
    <definedName name="med_53">#REF!</definedName>
    <definedName name="med_54">#REF!</definedName>
    <definedName name="med_55">#REF!</definedName>
    <definedName name="med_actual30">#REF!</definedName>
    <definedName name="med_actual31">#REF!</definedName>
    <definedName name="med_actual32">#REF!</definedName>
    <definedName name="med_actual33">#REF!</definedName>
    <definedName name="med_actual34">#REF!</definedName>
    <definedName name="med_actual40">#REF!</definedName>
    <definedName name="med_actual50">#REF!</definedName>
    <definedName name="med_actual51">#REF!</definedName>
    <definedName name="med_actual52">#REF!</definedName>
    <definedName name="med_actual53">#REF!</definedName>
    <definedName name="med_actual54">#REF!</definedName>
    <definedName name="med_actual55">#REF!</definedName>
    <definedName name="med_ae_ex">#REF!</definedName>
    <definedName name="med_ae_mh">#REF!</definedName>
    <definedName name="med_ae_mi">#REF!</definedName>
    <definedName name="med_ae_mlf">#REF!</definedName>
    <definedName name="med_as_ex">#REF!</definedName>
    <definedName name="med_as_mh">#REF!</definedName>
    <definedName name="med_as_mi">#REF!</definedName>
    <definedName name="med_as_mlf">#REF!</definedName>
    <definedName name="med_enc_ex">#REF!</definedName>
    <definedName name="med_enc_mh">#REF!</definedName>
    <definedName name="med_enc_mi">#REF!</definedName>
    <definedName name="med_enc_mlf">#REF!</definedName>
    <definedName name="MED_INDIA">#REF!</definedName>
    <definedName name="Medical">#REF!</definedName>
    <definedName name="MedicapDuty5">#REF!</definedName>
    <definedName name="MedicapDuty7">#REF!</definedName>
    <definedName name="MedicapDuty8">#REF!</definedName>
    <definedName name="MedicapStock5">#REF!</definedName>
    <definedName name="MedicapStock7">#REF!</definedName>
    <definedName name="MedicapStock8">#REF!</definedName>
    <definedName name="MedicapVAT5">#REF!</definedName>
    <definedName name="MedicapVAT7">#REF!</definedName>
    <definedName name="MedicapVAT8">#REF!</definedName>
    <definedName name="MEE">#REF!</definedName>
    <definedName name="megha">#REF!</definedName>
    <definedName name="megha1">#REF!</definedName>
    <definedName name="MELO">#REF!</definedName>
    <definedName name="membershipfee">#REF!</definedName>
    <definedName name="MEMBL">#REF!</definedName>
    <definedName name="MemFree">#REF!</definedName>
    <definedName name="MEMNOI">#REF!</definedName>
    <definedName name="MEMO2">#REF!</definedName>
    <definedName name="MEMPL">#REF!</definedName>
    <definedName name="MemTotal">#REF!</definedName>
    <definedName name="MENETA">#REF!</definedName>
    <definedName name="MENU">#REF!</definedName>
    <definedName name="MENU_2">#REF!</definedName>
    <definedName name="MENU_3">#REF!</definedName>
    <definedName name="MENU_4">#REF!</definedName>
    <definedName name="MENU_5">#REF!</definedName>
    <definedName name="Menu_Level">#REF!</definedName>
    <definedName name="mepcocsau1">#REF!</definedName>
    <definedName name="mepcoctr100">#REF!</definedName>
    <definedName name="mepcoctr60">#REF!</definedName>
    <definedName name="Mercury2" hidden="1">{"A Performance Report",#N/A,FALSE,"%Performance"}</definedName>
    <definedName name="Merlegstruktura">#REF!</definedName>
    <definedName name="MES">#REF!</definedName>
    <definedName name="MESES">#REF!</definedName>
    <definedName name="MESSRS">#REF!</definedName>
    <definedName name="Metformin">#REF!</definedName>
    <definedName name="MethodAcc">#REF!</definedName>
    <definedName name="Methods">#REF!</definedName>
    <definedName name="Metoclopramid">#REF!</definedName>
    <definedName name="Mexico_AmericanAxle">#REF!</definedName>
    <definedName name="Mexico_Arbomex">#REF!</definedName>
    <definedName name="Mexico_Arvin">#REF!</definedName>
    <definedName name="Mexico_Auma">#REF!</definedName>
    <definedName name="Mexico_Benteler">#REF!</definedName>
    <definedName name="Mexico_BlackHawk">#REF!</definedName>
    <definedName name="Mexico_Bocar">#REF!</definedName>
    <definedName name="Mexico_Bosal">#REF!</definedName>
    <definedName name="Mexico_Cardanes">#REF!</definedName>
    <definedName name="Mexico_Castech">#REF!</definedName>
    <definedName name="Mexico_CIE">#REF!</definedName>
    <definedName name="Mexico_Cifunsa">#REF!</definedName>
    <definedName name="Mexico_Clevite">#REF!</definedName>
    <definedName name="Mexico_Contitech">#REF!</definedName>
    <definedName name="Mexico_DanaHA">#REF!</definedName>
    <definedName name="Mexico_DelphiACE">#REF!</definedName>
    <definedName name="Mexico_DelphiASEC">#REF!</definedName>
    <definedName name="Mexico_Edscha">#REF!</definedName>
    <definedName name="Mexico_EjeTractivos">#REF!</definedName>
    <definedName name="Mexico_EUWE">#REF!</definedName>
    <definedName name="Mexico_FedMogul">#REF!</definedName>
    <definedName name="Mexico_Forjas">#REF!</definedName>
    <definedName name="Mexico_Gestamp">#REF!</definedName>
    <definedName name="Mexico_Gleason">#REF!</definedName>
    <definedName name="Mexico_Hitchiner">#REF!</definedName>
    <definedName name="Mexico_Inmagusa">#REF!</definedName>
    <definedName name="Mexico_ITT">#REF!</definedName>
    <definedName name="Mexico_JohnsonMatthey">#REF!</definedName>
    <definedName name="Mexico_Linamar">#REF!</definedName>
    <definedName name="Mexico_Lunkomex">#REF!</definedName>
    <definedName name="Mexico_MagnaAutotek">#REF!</definedName>
    <definedName name="Mexico_MagnaFormex">#REF!</definedName>
    <definedName name="Mexico_Mahle">#REF!</definedName>
    <definedName name="Mexico_Martinrea">#REF!</definedName>
    <definedName name="Mexico_Metaldyne">#REF!</definedName>
    <definedName name="Mexico_Metalsa">#REF!</definedName>
    <definedName name="Mexico_Montiac">#REF!</definedName>
    <definedName name="Mexico_Morestana">#REF!</definedName>
    <definedName name="Mexico_Napsa">#REF!</definedName>
    <definedName name="Mexico_Nemak">#REF!</definedName>
    <definedName name="Mexico_Pemsa">#REF!</definedName>
    <definedName name="Mexico_Proeza">#REF!</definedName>
    <definedName name="Mexico_Refa">#REF!</definedName>
    <definedName name="Mexico_Siebe">#REF!</definedName>
    <definedName name="Mexico_SKF">#REF!</definedName>
    <definedName name="Mexico_Tafime">#REF!</definedName>
    <definedName name="Mexico_Teksid">#REF!</definedName>
    <definedName name="Mexico_TIAuto">#REF!</definedName>
    <definedName name="Mexico_Tremec">#REF!</definedName>
    <definedName name="Mexico_Unisia">#REF!</definedName>
    <definedName name="Mexico_VanRob">#REF!</definedName>
    <definedName name="Mexico_Velcon">#REF!</definedName>
    <definedName name="Mexico_VisteonLamosa">#REF!</definedName>
    <definedName name="Mexico_Wohlert">#REF!</definedName>
    <definedName name="Mexico_Yorozu">#REF!</definedName>
    <definedName name="Mexico_ZFLemforder">#REF!</definedName>
    <definedName name="mezz_costs">#REF!</definedName>
    <definedName name="MF__24">#REF!</definedName>
    <definedName name="MF__36">#REF!</definedName>
    <definedName name="mfdifjfjkfjf" hidden="1">{"'BGT2001'!$A$1:$AE$112"}</definedName>
    <definedName name="mfg">#REF!</definedName>
    <definedName name="mfg_trans_price_average">#REF!</definedName>
    <definedName name="Mfg_Trans_Price_Lease">#REF!</definedName>
    <definedName name="Mfg_Trans_Price_Retail">#REF!</definedName>
    <definedName name="mfoew" hidden="1">{#N/A,"PURCHM",FALSE,"Business Analysis";#N/A,"SPADD",FALSE,"Business Analysis"}</definedName>
    <definedName name="MFRF">#REF!,#REF!,#REF!,#REF!,#REF!</definedName>
    <definedName name="MG_A">#REF!</definedName>
    <definedName name="MG_Growth_1">#REF!</definedName>
    <definedName name="MG_Growth_2">#REF!</definedName>
    <definedName name="MG_Growth_3">#REF!</definedName>
    <definedName name="Mgmt_New">#REF!</definedName>
    <definedName name="mgrannpay">#REF!</definedName>
    <definedName name="mgrmopay">#REF!</definedName>
    <definedName name="MGTEQ">#REF!</definedName>
    <definedName name="MGTEQ1">#REF!</definedName>
    <definedName name="MGTF_MC_OP">#REF!</definedName>
    <definedName name="MGTF_MC_VOP">#REF!</definedName>
    <definedName name="MGTF_MC_YE_EST">#REF!</definedName>
    <definedName name="MGTF_MC_YTD_ACTUAL">#REF!</definedName>
    <definedName name="MGTF_MP_COMPLETE">#REF!</definedName>
    <definedName name="MGTF_MP_OP">#REF!</definedName>
    <definedName name="MGTF_MP_VOP">#REF!</definedName>
    <definedName name="MGTF_MP_YE_EST">#REF!</definedName>
    <definedName name="MGTF_MP_YTD_ACTUAL">#REF!</definedName>
    <definedName name="MGTF_MPI_OP">#REF!</definedName>
    <definedName name="MGTF_MPI_VOP">#REF!</definedName>
    <definedName name="MGTF_MPI_YE_EST">#REF!</definedName>
    <definedName name="MGTF_MPI_YTD_ACTUAL">#REF!</definedName>
    <definedName name="MGTF_VCP_OP">#REF!</definedName>
    <definedName name="MGTF_VCP_VOP">#REF!</definedName>
    <definedName name="MGTF_VCP_YE_EST">#REF!</definedName>
    <definedName name="MGTF_VCP_YTD_ACTUAL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HGMGH" hidden="1">{#N/A,#N/A,FALSE,"ISBL"}</definedName>
    <definedName name="MHGMGH_1" hidden="1">{#N/A,#N/A,FALSE,"ISBL"}</definedName>
    <definedName name="MHGMGH_2" hidden="1">{#N/A,#N/A,FALSE,"ISBL"}</definedName>
    <definedName name="MHGMGH_3" hidden="1">{#N/A,#N/A,FALSE,"ISBL"}</definedName>
    <definedName name="MHGMGH_4" hidden="1">{#N/A,#N/A,FALSE,"ISBL"}</definedName>
    <definedName name="mhkbanksummary9798">#REF!</definedName>
    <definedName name="Mi">1000000</definedName>
    <definedName name="MICHELE" hidden="1">{#N/A,#N/A,FALSE,"Tabl. FB300";#N/A,#N/A,FALSE,"Tabl. FB350";#N/A,#N/A,FALSE,"Tabl. FB400";#N/A,#N/A,FALSE,"Tabl. FB500";#N/A,#N/A,FALSE,"Tabl. FS090"}</definedName>
    <definedName name="MICON">#N/A</definedName>
    <definedName name="Micro5">#REF!</definedName>
    <definedName name="mile">#REF!</definedName>
    <definedName name="Mileage">#REF!</definedName>
    <definedName name="mill">#REF!</definedName>
    <definedName name="Millions">1000000</definedName>
    <definedName name="MilnaDuty5">#REF!</definedName>
    <definedName name="MilnaDuty7">#REF!</definedName>
    <definedName name="MilnaDuty8">#REF!</definedName>
    <definedName name="MilnaStock5">#REF!</definedName>
    <definedName name="MilnaStock7">#REF!</definedName>
    <definedName name="MilnaStock8">#REF!</definedName>
    <definedName name="MilnaVAT5">#REF!</definedName>
    <definedName name="MilnaVAT7">#REF!</definedName>
    <definedName name="MilnaVAT8">#REF!</definedName>
    <definedName name="MILWAUKEE__AIRPORT">#REF!</definedName>
    <definedName name="min" hidden="1">{#N/A,#N/A,FALSE,"REPORT"}</definedName>
    <definedName name="mina" hidden="1">{#N/A,#N/A,FALSE,"REPORT"}</definedName>
    <definedName name="Minerals">#REF!</definedName>
    <definedName name="minhq">#REF!</definedName>
    <definedName name="minicase1">#REF!</definedName>
    <definedName name="Minicase1a">#REF!</definedName>
    <definedName name="minicase2">#REF!</definedName>
    <definedName name="minicase3">#REF!</definedName>
    <definedName name="minority">#REF!</definedName>
    <definedName name="mio" hidden="1">{"'OBT_6M_30_6'!$S$1:$AE$53"}</definedName>
    <definedName name="MIP">#REF!</definedName>
    <definedName name="MIPX3">#N/A</definedName>
    <definedName name="mis">#REF!</definedName>
    <definedName name="Mis.Income">#REF!</definedName>
    <definedName name="MISC">#REF!</definedName>
    <definedName name="Misc.Exp">#REF!</definedName>
    <definedName name="MISC_EXP">#REF!</definedName>
    <definedName name="misceallaneous">#REF!</definedName>
    <definedName name="Miscellaneous">#REF!</definedName>
    <definedName name="MISCINCOME">#REF!</definedName>
    <definedName name="MISS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Missing_code">#REF!</definedName>
    <definedName name="miu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wukls" hidden="1">{"detail",#N/A,FALSE,"mfg";"summary",#N/A,FALSE,"mfg"}</definedName>
    <definedName name="mj" hidden="1">{#N/A,#N/A,FALSE,"FY97";#N/A,#N/A,FALSE,"FY98";#N/A,#N/A,FALSE,"FY99";#N/A,#N/A,FALSE,"FY00";#N/A,#N/A,FALSE,"FY01"}</definedName>
    <definedName name="MK11USD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kl" hidden="1">{"pro_view",#N/A,FALSE,"EEFSNAP2";"rep_view",#N/A,FALSE,"EEFSNAP2"}</definedName>
    <definedName name="MKLP">#REF!</definedName>
    <definedName name="MKLPL">#REF!</definedName>
    <definedName name="MKT_2">#REF!</definedName>
    <definedName name="Mkt_Trans_Price_Lease">#REF!</definedName>
    <definedName name="Mkt_Trans_Price_Retail">#REF!</definedName>
    <definedName name="MKT10LC">#REF!</definedName>
    <definedName name="Mkt10Local">#REF!</definedName>
    <definedName name="Mkt10USD">#REF!</definedName>
    <definedName name="MKT11LC">#REF!</definedName>
    <definedName name="Mkt11Local">#REF!</definedName>
    <definedName name="Mkt11USD">#REF!</definedName>
    <definedName name="MKT1LC">#REF!</definedName>
    <definedName name="Mkt1Local">#REF!</definedName>
    <definedName name="Mkt1USD">#REF!</definedName>
    <definedName name="MKT2LC">#REF!</definedName>
    <definedName name="Mkt2Local">#REF!</definedName>
    <definedName name="Mkt2USD">#REF!</definedName>
    <definedName name="MKT3LC">#REF!</definedName>
    <definedName name="Mkt3Local">#REF!</definedName>
    <definedName name="Mkt3USD">#REF!</definedName>
    <definedName name="Mkt3USD1">#REF!</definedName>
    <definedName name="MKT4LC">#REF!</definedName>
    <definedName name="Mkt4Local">#REF!</definedName>
    <definedName name="Mkt4USD">#REF!</definedName>
    <definedName name="MKT5LC">#REF!</definedName>
    <definedName name="Mkt5Local">#REF!</definedName>
    <definedName name="Mkt5USD">#REF!</definedName>
    <definedName name="MKT6LC">#REF!</definedName>
    <definedName name="Mkt6Local">#REF!</definedName>
    <definedName name="Mkt6USD">#REF!</definedName>
    <definedName name="MKT7LC">#REF!</definedName>
    <definedName name="Mkt7Local">#REF!</definedName>
    <definedName name="Mkt7USD">#REF!</definedName>
    <definedName name="MKT8LC">#REF!</definedName>
    <definedName name="Mkt8Local">#REF!</definedName>
    <definedName name="Mkt8USD">#REF!</definedName>
    <definedName name="MKT9LC">#REF!</definedName>
    <definedName name="Mkt9Local">#REF!</definedName>
    <definedName name="Mkt9USD">#REF!</definedName>
    <definedName name="mktvalue97">#REF!</definedName>
    <definedName name="ML">#REF!</definedName>
    <definedName name="ML_basic_price">#REF!</definedName>
    <definedName name="ML_landed_cost">#REF!</definedName>
    <definedName name="MLKJH" hidden="1">{#N/A,#N/A,FALSE,"Tabl. G1";#N/A,#N/A,FALSE,"Tabl. G2"}</definedName>
    <definedName name="MLNK359464ea61e74370a31204cedd696c84" hidden="1">#REF!</definedName>
    <definedName name="MLNKe02c36ffb1cb46d7a40915070a79c6b4" hidden="1">#REF!</definedName>
    <definedName name="MLNKede618bbf01949dfbc769f67d1ea4a1f" hidden="1">#REF!</definedName>
    <definedName name="MLNKf1d59e1d6a534d2a82dba5b5601e095e" hidden="1">#REF!</definedName>
    <definedName name="MLNKf20cd46a0e124fd68b2060a3992615df" hidden="1">#REF!</definedName>
    <definedName name="MLNPR">#REF!</definedName>
    <definedName name="mluoncap15">#REF!</definedName>
    <definedName name="mlw" hidden="1">{#N/A,#N/A,FALSE,"Pharm";#N/A,#N/A,FALSE,"WWCM"}</definedName>
    <definedName name="MM">#REF!</definedName>
    <definedName name="mmai2.7">#REF!</definedName>
    <definedName name="mmk" hidden="1">{"Pg1",#N/A,FALSE,"OpExYTDvsBud";"Pg2",#N/A,FALSE,"OpExYTDvsBud"}</definedName>
    <definedName name="mmm">#REF!</definedName>
    <definedName name="MMMI">#REF!</definedName>
    <definedName name="mmmm" hidden="1">{"'OBT_6M_30_6'!$S$1:$AE$53"}</definedName>
    <definedName name="mmmmm" hidden="1">{#N/A,#N/A,FALSE,"Calc";#N/A,#N/A,FALSE,"Sensitivity";#N/A,#N/A,FALSE,"LT Earn.Dil.";#N/A,#N/A,FALSE,"Dil. AVP"}</definedName>
    <definedName name="MMMMMMMMMMMMM">#REF!</definedName>
    <definedName name="MMMO">#REF!</definedName>
    <definedName name="mmoih">#REF!</definedName>
    <definedName name="mmp" hidden="1">{"detail",#N/A,FALSE,"mfg";"summary",#N/A,FALSE,"mfg"}</definedName>
    <definedName name="mn">#REF!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crconv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GTFEE">#REF!</definedName>
    <definedName name="mnhogcaydk100">#REF!</definedName>
    <definedName name="mnhogcaydk54">#REF!</definedName>
    <definedName name="mnhogcaydk75">#REF!</definedName>
    <definedName name="mnmn" hidden="1">{"detail",#N/A,FALSE,"mfg";"summary",#N/A,FALSE,"mfg"}</definedName>
    <definedName name="mnnb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no" hidden="1">{#N/A,#N/A,FALSE,"Tabl. H1";#N/A,#N/A,FALSE,"Tabl. H2"}</definedName>
    <definedName name="mnth">#REF!</definedName>
    <definedName name="MobLP">#REF!</definedName>
    <definedName name="MobSP">#REF!</definedName>
    <definedName name="MOD">#REF!</definedName>
    <definedName name="MOD2A">#REF!</definedName>
    <definedName name="MOD2B">#REF!</definedName>
    <definedName name="MOD2C">#REF!</definedName>
    <definedName name="MOD2D">#REF!</definedName>
    <definedName name="MODEL">#N/A</definedName>
    <definedName name="Model_Year_Model_Sales">#REF!</definedName>
    <definedName name="model_year_sales">#REF!</definedName>
    <definedName name="MODEL1">#REF!</definedName>
    <definedName name="ModelCode">#REF!</definedName>
    <definedName name="ModelDesc">#REF!</definedName>
    <definedName name="models">#REF!</definedName>
    <definedName name="Mods_per_Disbn_sys">#REF!</definedName>
    <definedName name="modul" hidden="1">{"Prof. Calculation Full Costs",#N/A,FALSE,"Profitability calculation"}</definedName>
    <definedName name="module">#REF!</definedName>
    <definedName name="MOHDR">#N/A</definedName>
    <definedName name="MOIK">#REF!</definedName>
    <definedName name="mokp" hidden="1">{"QTD_LPO2N2",#N/A,FALSE,"QTD"}</definedName>
    <definedName name="Mol.consn.">#REF!</definedName>
    <definedName name="Mol.recepit">#REF!</definedName>
    <definedName name="Mol_Dist.">#REF!</definedName>
    <definedName name="moliere" hidden="1">{"'BGT2001'!$A$1:$AE$112"}</definedName>
    <definedName name="MONAME">#REF!</definedName>
    <definedName name="Monat">#REF!</definedName>
    <definedName name="Monat1Kostenstelle">#REF!</definedName>
    <definedName name="Mondal">#REF!</definedName>
    <definedName name="Monetary_Precision">#REF!</definedName>
    <definedName name="money" hidden="1">{"page 1",#N/A,FALSE,"A";"page 2",#N/A,FALSE,"A";"page 3",#N/A,FALSE,"A";"page 4",#N/A,FALSE,"A";"page 5",#N/A,FALSE,"A"}</definedName>
    <definedName name="monica">#REF!</definedName>
    <definedName name="Month">#REF!</definedName>
    <definedName name="Month_Bis">#REF!</definedName>
    <definedName name="MONTH_DATE">#REF!</definedName>
    <definedName name="Month_Table">#REF!</definedName>
    <definedName name="month1">#REF!</definedName>
    <definedName name="month1_direct">#REF!</definedName>
    <definedName name="Month1_Ending_Bal">#REF!</definedName>
    <definedName name="month1_lease">#REF!</definedName>
    <definedName name="month2">#REF!</definedName>
    <definedName name="month2_direct">#REF!</definedName>
    <definedName name="month2_lease">#REF!</definedName>
    <definedName name="Month2002">#REF!</definedName>
    <definedName name="month3">#REF!</definedName>
    <definedName name="month3_direct">#REF!</definedName>
    <definedName name="month3_lease">#REF!</definedName>
    <definedName name="monthindex">#REF!</definedName>
    <definedName name="monthlist">#REF!</definedName>
    <definedName name="Monthly">#REF!</definedName>
    <definedName name="monthly_13">#REF!</definedName>
    <definedName name="monthly_21">#REF!</definedName>
    <definedName name="MONTHLY_MG">#REF!</definedName>
    <definedName name="Monthly_Report">#REF!</definedName>
    <definedName name="Monthly_Salaries">#REF!</definedName>
    <definedName name="MonthlyBudget">#REF!</definedName>
    <definedName name="MonthlyIncomeStatement">#N/A</definedName>
    <definedName name="monthname">#REF!</definedName>
    <definedName name="monthprice">#REF!</definedName>
    <definedName name="Months">#REF!</definedName>
    <definedName name="Months_Remaining">#REF!</definedName>
    <definedName name="months1">#REF!</definedName>
    <definedName name="MONTHWISE_BUSINESS_INDICATORS_KEY_RATIOS__2000_01">#REF!</definedName>
    <definedName name="MonthYear">#REF!</definedName>
    <definedName name="MOPRIOR">#REF!</definedName>
    <definedName name="morita">#REF!</definedName>
    <definedName name="moritavn">#REF!</definedName>
    <definedName name="Motar_Car">#REF!</definedName>
    <definedName name="Motiv_Bonus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r_Cycle">#REF!</definedName>
    <definedName name="MOTORCAR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OULE_No">#REF!</definedName>
    <definedName name="MOVE">#REF!</definedName>
    <definedName name="MP">#REF!</definedName>
    <definedName name="MPBOH">#N/A</definedName>
    <definedName name="mPEG" hidden="1">{#N/A,#N/A,FALSE,"QC REVIEW"}</definedName>
    <definedName name="MPEOH">#N/A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pwr">#REF!</definedName>
    <definedName name="Mq">#REF!</definedName>
    <definedName name="MQ_00N">#REF!</definedName>
    <definedName name="mqg" hidden="1">{#N/A,#N/A,FALSE,"Tabl. H1";#N/A,#N/A,FALSE,"Tabl. H2"}</definedName>
    <definedName name="mr10resi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mr10residen" hidden="1">{#N/A,#N/A,TRUE,"Financials";#N/A,#N/A,TRUE,"Operating Statistics";#N/A,#N/A,TRUE,"Capex &amp; Depreciation";#N/A,#N/A,TRUE,"Debt"}</definedName>
    <definedName name="mract">#REF!</definedName>
    <definedName name="mraibtsp500">#REF!</definedName>
    <definedName name="mraintn100">#REF!</definedName>
    <definedName name="mraintn65">#REF!</definedName>
    <definedName name="MRAMSAprInv">#REF!</definedName>
    <definedName name="MRAMSAugInv">#REF!</definedName>
    <definedName name="MRAMSDecInv">#REF!</definedName>
    <definedName name="MRAMSFebInv">#REF!</definedName>
    <definedName name="MRAMSJanInv">#REF!</definedName>
    <definedName name="MRAMSJulInv">#REF!</definedName>
    <definedName name="MRAMSJunInv">#REF!</definedName>
    <definedName name="MRAMSMarInv">#REF!</definedName>
    <definedName name="MRAMSMayInv">#REF!</definedName>
    <definedName name="MRAMSNovInv">#REF!</definedName>
    <definedName name="MrAMSOctInv">#REF!</definedName>
    <definedName name="MRAMSSepInv">#REF!</definedName>
    <definedName name="MRBL">#REF!</definedName>
    <definedName name="MRF">#REF!</definedName>
    <definedName name="mrg">#REF!</definedName>
    <definedName name="MRKTNG">#REF!</definedName>
    <definedName name="MRNOI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RPA">#REF!</definedName>
    <definedName name="MRPL">#REF!</definedName>
    <definedName name="ms">#REF!</definedName>
    <definedName name="MS_COA_EUCA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SC_Cost_Match">#REF!</definedName>
    <definedName name="MSC_DATA_ALL">#REF!</definedName>
    <definedName name="mscl">#REF!</definedName>
    <definedName name="MSEB">#REF!</definedName>
    <definedName name="MSFSFF">#REF!</definedName>
    <definedName name="MSRP">#REF!</definedName>
    <definedName name="MSRP95">#REF!</definedName>
    <definedName name="MSRP96">#REF!</definedName>
    <definedName name="mssm">#REF!</definedName>
    <definedName name="MSTPL">#REF!</definedName>
    <definedName name="MStVal">#REF!</definedName>
    <definedName name="mtaukeo150">#REF!</definedName>
    <definedName name="mtaukeo360">#REF!</definedName>
    <definedName name="mtaukeo600">#REF!</definedName>
    <definedName name="mtb">#REF!</definedName>
    <definedName name="mtbipvlan150">#REF!</definedName>
    <definedName name="mtd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k" hidden="1">{#N/A,#N/A,FALSE,"Tabl. FB300";#N/A,#N/A,FALSE,"Tabl. FB350";#N/A,#N/A,FALSE,"Tabl. FB400";#N/A,#N/A,FALSE,"Tabl. FB500";#N/A,#N/A,FALSE,"Tabl. FS090"}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IAL">#REF!</definedName>
    <definedName name="mtrk" hidden="1">{#N/A,#N/A,FALSE,"Tabl. FB300";#N/A,#N/A,FALSE,"Tabl. FB350";#N/A,#N/A,FALSE,"Tabl. FB400";#N/A,#N/A,FALSE,"Tabl. FB500";#N/A,#N/A,FALSE,"Tabl. FS090"}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">#REF!</definedName>
    <definedName name="mucwip" hidden="1">{#N/A,#N/A,TRUE,"RM-June"}</definedName>
    <definedName name="MUL">#REF!</definedName>
    <definedName name="Muliplicator">#REF!</definedName>
    <definedName name="Mullion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ULTIPLES">#REF!</definedName>
    <definedName name="MULTIPLICATOR">#REF!</definedName>
    <definedName name="MumbaiSheet3">#REF!</definedName>
    <definedName name="muonong2.8">#REF!</definedName>
    <definedName name="MURTHY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Musculo_OTC">#REF!</definedName>
    <definedName name="MusculoTotal">#REF!</definedName>
    <definedName name="Muxes_per_Disbn_sys">#REF!</definedName>
    <definedName name="MV">#REF!</definedName>
    <definedName name="mva">#REF!</definedName>
    <definedName name="mvanthang0.3">#REF!</definedName>
    <definedName name="mvanthang0.5">#REF!</definedName>
    <definedName name="mvanthang2">#REF!</definedName>
    <definedName name="mw" hidden="1">{#N/A,#N/A,FALSE,"Pharm";#N/A,#N/A,FALSE,"WWCM"}</definedName>
    <definedName name="MW_PA">#REF!</definedName>
    <definedName name="mw_wcapl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00_iSD_Volume">#REF!</definedName>
    <definedName name="MyBusiness">#REF!</definedName>
    <definedName name="myle">#REF!</definedName>
    <definedName name="MYUJTG" hidden="1">{#N/A,#N/A,FALSE,"EW"}</definedName>
    <definedName name="MYUJTG_1" hidden="1">{#N/A,#N/A,FALSE,"EW"}</definedName>
    <definedName name="MYUJTG_2" hidden="1">{#N/A,#N/A,FALSE,"EW"}</definedName>
    <definedName name="MYUJTG_3" hidden="1">{#N/A,#N/A,FALSE,"EW"}</definedName>
    <definedName name="MYUJTG_4" hidden="1">{#N/A,#N/A,FALSE,"EW"}</definedName>
    <definedName name="MZ">#REF!</definedName>
    <definedName name="mzb" hidden="1">{#N/A,#N/A,FALSE,"Tabl. D1";#N/A,#N/A,FALSE,"Tabl. D1 b";#N/A,#N/A,FALSE,"Tabl. D2";#N/A,#N/A,FALSE,"Tabl. D2 b";#N/A,#N/A,FALSE,"Tabl. D3";#N/A,#N/A,FALSE,"Tabl. D4";#N/A,#N/A,FALSE,"Tabl. D5"}</definedName>
    <definedName name="M행">#REF!</definedName>
    <definedName name="n">#REF!</definedName>
    <definedName name="N?">#REF!</definedName>
    <definedName name="N_1">#REF!</definedName>
    <definedName name="N_2">#REF!</definedName>
    <definedName name="N_3">#REF!</definedName>
    <definedName name="N_level">#REF!</definedName>
    <definedName name="n_psi_connect">#REF!</definedName>
    <definedName name="N1_">#REF!</definedName>
    <definedName name="N2_">#REF!</definedName>
    <definedName name="N3_">#REF!</definedName>
    <definedName name="n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gpur">#REF!</definedName>
    <definedName name="NAL">#REF!</definedName>
    <definedName name="nam90ng" hidden="1">{"detail",#N/A,FALSE,"mfg";"summary",#N/A,FALSE,"mfg"}</definedName>
    <definedName name="nam9njk" hidden="1">{"detail",#N/A,FALSE,"mfg";"summary",#N/A,FALSE,"mfg"}</definedName>
    <definedName name="Name">#REF!</definedName>
    <definedName name="Name_of_the_reviewer">#REF!</definedName>
    <definedName name="name1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">#REF!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101" hidden="1">{"detail",#N/A,FALSE,"mfg";"summary",#N/A,FALSE,"mfg"}</definedName>
    <definedName name="nameb45" hidden="1">{"detail",#N/A,FALSE,"mfg";"summary",#N/A,FALSE,"mfg"}</definedName>
    <definedName name="nameiges" hidden="1">{"detail",#N/A,FALSE,"mfg";"summary",#N/A,FALSE,"mfg"}</definedName>
    <definedName name="NANBL">#REF!</definedName>
    <definedName name="NANDU">#REF!</definedName>
    <definedName name="NANNOI">#REF!</definedName>
    <definedName name="NANPL">#REF!</definedName>
    <definedName name="Naposim">#REF!</definedName>
    <definedName name="NAR">#REF!</definedName>
    <definedName name="NARM">#REF!</definedName>
    <definedName name="Nature">#REF!</definedName>
    <definedName name="NatureBusiness">#REF!</definedName>
    <definedName name="NAV.RECONCILATION">#REF!</definedName>
    <definedName name="NAV_COVER_SHEET">#REF!</definedName>
    <definedName name="NAV_SHEET_BEFORE_PERF_FEE">#REF!</definedName>
    <definedName name="navbasedfees">#REF!</definedName>
    <definedName name="navneet" hidden="1">{"'Sheet3'!$A$1:$B$30"}</definedName>
    <definedName name="NAVPERSHARE">#REF!</definedName>
    <definedName name="navrec">#REF!</definedName>
    <definedName name="NAVSUM2">#REF!</definedName>
    <definedName name="Naxk7">#REF!</definedName>
    <definedName name="nb" hidden="1">{#N/A,#N/A,FALSE,"COMP"}</definedName>
    <definedName name="NBH">#REF!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NBB" hidden="1">{"'BGT2001'!$A$1:$AE$112"}</definedName>
    <definedName name="nbv" hidden="1">{#N/A,#N/A,FALSE,"QC REVIEW"}</definedName>
    <definedName name="nbvc" hidden="1">{#N/A,#N/A,FALSE,"COMP"}</definedName>
    <definedName name="nbvgh" hidden="1">{#N/A,#N/A,FALSE,"PMTABB";#N/A,#N/A,FALSE,"PMTABB"}</definedName>
    <definedName name="nbvgh_2" hidden="1">{#N/A,#N/A,FALSE,"PMTABB";#N/A,#N/A,FALSE,"PMTABB"}</definedName>
    <definedName name="nbvgh_3" hidden="1">{#N/A,#N/A,FALSE,"PMTABB";#N/A,#N/A,FALSE,"PMTABB"}</definedName>
    <definedName name="nbvgh_4" hidden="1">{#N/A,#N/A,FALSE,"PMTABB";#N/A,#N/A,FALSE,"PMTABB"}</definedName>
    <definedName name="nbvn">#REF!</definedName>
    <definedName name="nc">#REF!</definedName>
    <definedName name="NCA_ISDMG">#REF!</definedName>
    <definedName name="NCcap0.7">#REF!</definedName>
    <definedName name="NCcap1">#REF!</definedName>
    <definedName name="NCFR" hidden="1">{"'BGT2001'!$A$1:$AE$112"}</definedName>
    <definedName name="NCH">#REF!</definedName>
    <definedName name="ncong">#REF!</definedName>
    <definedName name="ndata">#REF!</definedName>
    <definedName name="NDDR">#REF!</definedName>
    <definedName name="NDGNDN" hidden="1">{"'Mach'!$A$1:$D$39"}</definedName>
    <definedName name="NDL">#REF!</definedName>
    <definedName name="NDXSING">#REF!</definedName>
    <definedName name="NDXSTEP">#REF!</definedName>
    <definedName name="Neeraj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Negative_Balances">#REF!</definedName>
    <definedName name="Nepal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CUM">#REF!</definedName>
    <definedName name="Net_Dr_Ro">#N/A</definedName>
    <definedName name="net_forex">#REF!</definedName>
    <definedName name="NET_MONTH">#REF!</definedName>
    <definedName name="NET_PRICE">#REF!</definedName>
    <definedName name="net_tax">#REF!</definedName>
    <definedName name="NET3A">#REF!</definedName>
    <definedName name="NET3B">#REF!</definedName>
    <definedName name="netblock">#REF!</definedName>
    <definedName name="NetDebt">#N/A</definedName>
    <definedName name="Netherlands">#REF!</definedName>
    <definedName name="NETHERLDS">#REF!</definedName>
    <definedName name="NetInterest">InterestIncome-InterestExpense</definedName>
    <definedName name="NetInvestment">#REF!</definedName>
    <definedName name="Netprofit">#REF!</definedName>
    <definedName name="Network_Cost_Summary">#REF!</definedName>
    <definedName name="Network_Costs">#REF!</definedName>
    <definedName name="Network_Units___Additions">#REF!</definedName>
    <definedName name="NEUC">#REF!</definedName>
    <definedName name="NEUCHATEL">#REF!</definedName>
    <definedName name="new">#REF!</definedName>
    <definedName name="nEW_1" hidden="1">{#N/A,#N/A,FALSE,"Aging Summary";#N/A,#N/A,FALSE,"Ratio Analysis";#N/A,#N/A,FALSE,"Test 120 Day Accts";#N/A,#N/A,FALSE,"Tickmarks"}</definedName>
    <definedName name="new_30">#REF!</definedName>
    <definedName name="new_31">#REF!</definedName>
    <definedName name="new_32">#REF!</definedName>
    <definedName name="new_33">#REF!</definedName>
    <definedName name="new_34">#REF!</definedName>
    <definedName name="new_40">#REF!</definedName>
    <definedName name="new_50">#REF!</definedName>
    <definedName name="new_51">#REF!</definedName>
    <definedName name="new_52">#REF!</definedName>
    <definedName name="new_53">#REF!</definedName>
    <definedName name="new_54">#REF!</definedName>
    <definedName name="new_55">#REF!</definedName>
    <definedName name="new_Capital_expenditure_to_sales">#REF!</definedName>
    <definedName name="new_EBITDA_margin">#REF!</definedName>
    <definedName name="new_name">#N/A</definedName>
    <definedName name="NEW_ONE">#REF!</definedName>
    <definedName name="New_product">#REF!</definedName>
    <definedName name="New_Salaries">#REF!</definedName>
    <definedName name="new_Sales_growth">#REF!</definedName>
    <definedName name="new_Tax_rate">#REF!</definedName>
    <definedName name="new_WACC">#REF!</definedName>
    <definedName name="new_Working_capital_to_sales">#REF!</definedName>
    <definedName name="newack2">#REF!</definedName>
    <definedName name="Newco">#REF!</definedName>
    <definedName name="NEWCODE">#REF!</definedName>
    <definedName name="NewFacil">#REF!</definedName>
    <definedName name="NewGrowth">#REF!</definedName>
    <definedName name="NEWNA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me">#REF!</definedName>
    <definedName name="newnewnew" hidden="1">{#N/A,#N/A,FALSE,"Pharm";#N/A,#N/A,FALSE,"WWCM"}</definedName>
    <definedName name="newoo">#REF!</definedName>
    <definedName name="news">#REF!</definedName>
    <definedName name="News_Archives">#REF!</definedName>
    <definedName name="newssd">#REF!</definedName>
    <definedName name="NEXTAVYR">#REF!</definedName>
    <definedName name="NextSteps">#REF!</definedName>
    <definedName name="ng" hidden="1">{"Refining 1",#N/A,FALSE,"Detailed cost - crude";"Refining 2",#N/A,FALSE,"Detailed cost - crude"}</definedName>
    <definedName name="NGAØY">#REF!</definedName>
    <definedName name="ngau">#REF!</definedName>
    <definedName name="NGFHFG" hidden="1">{#N/A,#N/A,FALSE,"PGW"}</definedName>
    <definedName name="NGFHFG_1" hidden="1">{#N/A,#N/A,FALSE,"PGW"}</definedName>
    <definedName name="NGFHFG_2" hidden="1">{#N/A,#N/A,FALSE,"PGW"}</definedName>
    <definedName name="NGFHFG_3" hidden="1">{#N/A,#N/A,FALSE,"PGW"}</definedName>
    <definedName name="NGFHFG_4" hidden="1">{#N/A,#N/A,FALSE,"PGW"}</definedName>
    <definedName name="NH">#REF!</definedName>
    <definedName name="Nhapsolieu">#REF!</definedName>
    <definedName name="NHot">#REF!</definedName>
    <definedName name="NHP">#REF!</definedName>
    <definedName name="nhr">#REF!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hua">#REF!</definedName>
    <definedName name="NI">#REF!</definedName>
    <definedName name="NICER">#REF!</definedName>
    <definedName name="Nick">#REF!</definedName>
    <definedName name="Nifedipin">#REF!</definedName>
    <definedName name="nijnsh" hidden="1">{"detail",#N/A,FALSE,"mfg";"summary",#N/A,FALSE,"mfg"}</definedName>
    <definedName name="niks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il" hidden="1">{#N/A,#N/A,FALSE,"Aging Summary";#N/A,#N/A,FALSE,"Ratio Analysis";#N/A,#N/A,FALSE,"Test 120 Day Accts";#N/A,#N/A,FALSE,"Tickmarks"}</definedName>
    <definedName name="Ninety_From">#REF!</definedName>
    <definedName name="Ninety_To">#REF!</definedName>
    <definedName name="NIRAV">#REF!</definedName>
    <definedName name="NISSAN_Money_Factor36">#REF!</definedName>
    <definedName name="nit" hidden="1">{#N/A,#N/A,FALSE,"Tabl. D1";#N/A,#N/A,FALSE,"Tabl. D1 b";#N/A,#N/A,FALSE,"Tabl. D2";#N/A,#N/A,FALSE,"Tabl. D2 b";#N/A,#N/A,FALSE,"Tabl. D3";#N/A,#N/A,FALSE,"Tabl. D4";#N/A,#N/A,FALSE,"Tabl. D5"}</definedName>
    <definedName name="nitin">{#N/A,#N/A,FALSE,"Aging Summary";#N/A,#N/A,FALSE,"Ratio Analysis";#N/A,#N/A,FALSE,"Test 120 Day Accts";#N/A,#N/A,FALSE,"Tickmarks"}</definedName>
    <definedName name="NITISH">#REF!</definedName>
    <definedName name="Nitropector">#REF!</definedName>
    <definedName name="nitru" hidden="1">{#N/A,#N/A,FALSE,"Tabl. G1";#N/A,#N/A,FALSE,"Tabl. G2"}</definedName>
    <definedName name="Nizoral">#REF!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">#REF!</definedName>
    <definedName name="njkjsh" hidden="1">{"detail",#N/A,FALSE,"mfg";"summary",#N/A,FALSE,"mfg"}</definedName>
    <definedName name="nkmi9c" hidden="1">{#N/A,"PURCHM",FALSE,"Business Analysis";#N/A,"SPADD",FALSE,"Business Analysis"}</definedName>
    <definedName name="nkr">#REF!</definedName>
    <definedName name="NL_SellingPrice">#REF!</definedName>
    <definedName name="NLCostApprover">#REF!</definedName>
    <definedName name="NLCostCode">#REF!</definedName>
    <definedName name="NLCostDate">#REF!</definedName>
    <definedName name="NLCostRecommend">#REF!</definedName>
    <definedName name="NLCostRecommendCode">#REF!</definedName>
    <definedName name="NLCostRecommendComment">#REF!</definedName>
    <definedName name="NLCostRecommendCost">#REF!</definedName>
    <definedName name="NLCostRecommendCreditLimit">#REF!</definedName>
    <definedName name="NLCostRecommendDescription">#REF!</definedName>
    <definedName name="NLCostRecommendOption">#REF!</definedName>
    <definedName name="NLCostRecommendOrder">#REF!</definedName>
    <definedName name="NLCostRecommendPenaltyDay">#REF!</definedName>
    <definedName name="NLCostRecommendPenaltyMonth">#REF!</definedName>
    <definedName name="NLCostRecommendPenaltyWeek">#REF!</definedName>
    <definedName name="NLCostRecommendQty">#REF!</definedName>
    <definedName name="NLCostRecommendStatus">#REF!</definedName>
    <definedName name="NLCostResponse">#REF!</definedName>
    <definedName name="NLCostStatus">#REF!</definedName>
    <definedName name="NLCostSubmit">#REF!</definedName>
    <definedName name="NLCostSubmitCode">#REF!</definedName>
    <definedName name="NLCostSubmitComment">#REF!</definedName>
    <definedName name="NLCostSubmitCost">#REF!</definedName>
    <definedName name="NLCostSubmitCreditLimit">#REF!</definedName>
    <definedName name="NLCostSubmitDescription">#REF!</definedName>
    <definedName name="NLCostSubmitOption">#REF!</definedName>
    <definedName name="NLCostSubmitOrder">#REF!</definedName>
    <definedName name="NLCostSubmitPenaltyDay">#REF!</definedName>
    <definedName name="NLCostSubmitPenaltyMonth">#REF!</definedName>
    <definedName name="NLCostSubmitPenaltyWeek">#REF!</definedName>
    <definedName name="NLCostSubmitQty">#REF!</definedName>
    <definedName name="NLCostSubmitStatus">#REF!</definedName>
    <definedName name="NLCS">#REF!</definedName>
    <definedName name="NLDeliveryApprover">#REF!</definedName>
    <definedName name="NLDeliveryCode">#REF!</definedName>
    <definedName name="NLDeliveryComments">#REF!</definedName>
    <definedName name="NLDeliveryDate">#REF!</definedName>
    <definedName name="NLDeliveryRequestedDate">#REF!</definedName>
    <definedName name="NLDeliveryResponse">#REF!</definedName>
    <definedName name="NLDeliveryStandardDate">#REF!</definedName>
    <definedName name="NLDeliveryStatus">#REF!</definedName>
    <definedName name="NLDemoApprover">#REF!</definedName>
    <definedName name="NLDemoCode">#REF!</definedName>
    <definedName name="NLDemoDate">#REF!</definedName>
    <definedName name="NLDemoQuoteIdDesc">#REF!</definedName>
    <definedName name="NLDemoRecommend">#REF!</definedName>
    <definedName name="NLDemoRecommendAge">#REF!</definedName>
    <definedName name="NLDemoRecommendAvailabilityPlace">#REF!</definedName>
    <definedName name="NLDemoRecommendAvalabilityDate">#REF!</definedName>
    <definedName name="NLDemoRecommendCode">#REF!</definedName>
    <definedName name="NLDemoRecommendComment">#REF!</definedName>
    <definedName name="NLDemoRecommendCost">#REF!</definedName>
    <definedName name="NLDemoRecommendDescription">#REF!</definedName>
    <definedName name="NLDemoRecommendFDO">#REF!</definedName>
    <definedName name="NLDemoRecommendInstallationCost">#REF!</definedName>
    <definedName name="NLDemoRecommendOption">#REF!</definedName>
    <definedName name="NLDemoRecommendOrder">#REF!</definedName>
    <definedName name="NLDemoRecommendQty">#REF!</definedName>
    <definedName name="NLDemoRecommendSellingPrice">#REF!</definedName>
    <definedName name="NLDemoRecommendStatus">#REF!</definedName>
    <definedName name="NLDemoRecommendTrainingCost">#REF!</definedName>
    <definedName name="NLDemoRecommendWarrantyCost">#REF!</definedName>
    <definedName name="NLDemoResponse">#REF!</definedName>
    <definedName name="NLDemoStatus">#REF!</definedName>
    <definedName name="NLDemoSubmit">#REF!</definedName>
    <definedName name="NLDemoSubmitAge">#REF!</definedName>
    <definedName name="NLDemoSubmitAvailability">#REF!</definedName>
    <definedName name="NLDemoSubmitAvailabilityPlace">#REF!</definedName>
    <definedName name="NLDemoSubmitCode">#REF!</definedName>
    <definedName name="NLDemoSubmitComment">#REF!</definedName>
    <definedName name="NLDemoSubmitCost">#REF!</definedName>
    <definedName name="NLDemoSubmitDescription">#REF!</definedName>
    <definedName name="NLDemoSubmitFDO">#REF!</definedName>
    <definedName name="NLDemoSubmitInstallationCost">#REF!</definedName>
    <definedName name="NLDemoSubmitOption">#REF!</definedName>
    <definedName name="NLDemoSubmitOrder">#REF!</definedName>
    <definedName name="NLDemoSubmitQty">#REF!</definedName>
    <definedName name="NLDemoSubmitSellingPrice">#REF!</definedName>
    <definedName name="NLDemoSubmitStatus">#REF!</definedName>
    <definedName name="NLDemoSubmitTrainingCost">#REF!</definedName>
    <definedName name="NLDemoSubmitWarrantyCost">#REF!</definedName>
    <definedName name="NLDemoUserFax">#REF!</definedName>
    <definedName name="NLDemoUserName">#REF!</definedName>
    <definedName name="NLDemoUserPhone1">#REF!</definedName>
    <definedName name="NLDemoUserPhone2">#REF!</definedName>
    <definedName name="NLDiscountApprover">#REF!</definedName>
    <definedName name="NLDiscountCode">#REF!</definedName>
    <definedName name="NLDiscountDate">#REF!</definedName>
    <definedName name="NLDiscountPhone1">#REF!</definedName>
    <definedName name="NLDiscountPhone2">#REF!</definedName>
    <definedName name="NLDiscountQuoteIdDesc">#REF!</definedName>
    <definedName name="NLDiscountRecommendComment">#REF!</definedName>
    <definedName name="NLDiscountRecommendGeDiscount">#REF!</definedName>
    <definedName name="NLDiscountRecommendRfaDiscount">#REF!</definedName>
    <definedName name="NLDiscountRecommendTotalSP">#REF!</definedName>
    <definedName name="NLDiscountResponse">#REF!</definedName>
    <definedName name="NLDiscountStatus">#REF!</definedName>
    <definedName name="NLDiscountSubmitComment">#REF!</definedName>
    <definedName name="NLDiscountSubmitGeDiscount">#REF!</definedName>
    <definedName name="NLDiscountSubmitRfaDiscount">#REF!</definedName>
    <definedName name="NLDiscountSubmitTotalSP">#REF!</definedName>
    <definedName name="NLDiscountUserFax">#REF!</definedName>
    <definedName name="NLDiscountUserName">#REF!</definedName>
    <definedName name="NLDiscountUserPhone1">#REF!</definedName>
    <definedName name="NLExtWorkApprover">#REF!</definedName>
    <definedName name="NLExtWorkCode">#REF!</definedName>
    <definedName name="NLExtWorkDate">#REF!</definedName>
    <definedName name="NLExtWorkQuoteIdDesc">#REF!</definedName>
    <definedName name="NLExtWorkRecommend">#REF!</definedName>
    <definedName name="NLExtWorkRecommendAvailabilityDate">#REF!</definedName>
    <definedName name="NLExtWorkRecommendAvailabilityPlace">#REF!</definedName>
    <definedName name="NLExtWorkRecommendCode">#REF!</definedName>
    <definedName name="NLExtWorkRecommendComment">#REF!</definedName>
    <definedName name="NLExtWorkRecommendCost">#REF!</definedName>
    <definedName name="NLExtWorkRecommendDescription">#REF!</definedName>
    <definedName name="NLExtWorkRecommendDiscount">#REF!</definedName>
    <definedName name="NLExtWorkRecommendGemsRef">#REF!</definedName>
    <definedName name="NLExtWorkRecommendListPrice">#REF!</definedName>
    <definedName name="NLExtWorkRecommendMarkUp">#REF!</definedName>
    <definedName name="NLExtWorkRecommendOption">#REF!</definedName>
    <definedName name="NLExtWorkRecommendOrder">#REF!</definedName>
    <definedName name="NLExtWorkRecommendQty">#REF!</definedName>
    <definedName name="NLExtWorkRecommendSellingPrice">#REF!</definedName>
    <definedName name="NLExtWorkRecommendStatus">#REF!</definedName>
    <definedName name="NLExtWorkRecommendSupplierCity">#REF!</definedName>
    <definedName name="NLExtWorkRecommendSupplierCountry">#REF!</definedName>
    <definedName name="NLExtWorkRecommendSupplierFax">#REF!</definedName>
    <definedName name="NLExtWorkRecommendSupplierFirstname">#REF!</definedName>
    <definedName name="NLExtWorkRecommendSupplierLastname">#REF!</definedName>
    <definedName name="NLExtWorkRecommendSupplierPhone">#REF!</definedName>
    <definedName name="NLExtWorkRecommendSupplierStreet1">#REF!</definedName>
    <definedName name="NLExtWorkRecommendSupplierStreet2">#REF!</definedName>
    <definedName name="NLExtWorkRecommendSupplierStreet3">#REF!</definedName>
    <definedName name="NLExtWorkRecommendSupplierZipCode">#REF!</definedName>
    <definedName name="NLExtWorkRecommendVoltage">#REF!</definedName>
    <definedName name="NLExtWorkResponse">#REF!</definedName>
    <definedName name="NLExtWorkStatus">#REF!</definedName>
    <definedName name="NLExtWorkSubmit">#REF!</definedName>
    <definedName name="NLExtWorkSubmitAvailabilityDate">#REF!</definedName>
    <definedName name="NLExtWorkSubmitAvailbilityPlace">#REF!</definedName>
    <definedName name="NLExtWorkSubmitCode">#REF!</definedName>
    <definedName name="NLExtWorkSubmitComment">#REF!</definedName>
    <definedName name="NLExtWorkSubmitCommment">#REF!</definedName>
    <definedName name="NLExtWorkSubmitCost">#REF!</definedName>
    <definedName name="NLExtWorkSubmitDescription">#REF!</definedName>
    <definedName name="NLExtWorkSubmitDiscount">#REF!</definedName>
    <definedName name="NLExtWorkSubmitGemsRef">#REF!</definedName>
    <definedName name="NLExtWorkSubmitListPrice">#REF!</definedName>
    <definedName name="NLExtWorkSubmitMarkUp">#REF!</definedName>
    <definedName name="NLExtWorkSubmitOption">#REF!</definedName>
    <definedName name="NLExtWorkSubmitOrder">#REF!</definedName>
    <definedName name="NLExtWorkSubmitQty">#REF!</definedName>
    <definedName name="NLExtWorkSubmitSellingPrice">#REF!</definedName>
    <definedName name="NLExtWorkSubmitStatus">#REF!</definedName>
    <definedName name="NLExtWorkSubmitSupplierCity">#REF!</definedName>
    <definedName name="NLExtWorkSubmitSupplierCountry">#REF!</definedName>
    <definedName name="NLExtWorkSubmitSupplierFax">#REF!</definedName>
    <definedName name="NLExtWorkSubmitSupplierFirstname">#REF!</definedName>
    <definedName name="NLExtWorkSubmitSupplierLastname">#REF!</definedName>
    <definedName name="NLExtWorkSubmitSupplierPhone">#REF!</definedName>
    <definedName name="NLExtWorkSubmitSupplierStreet1">#REF!</definedName>
    <definedName name="NLExtWorkSubmitSupplierStreet2">#REF!</definedName>
    <definedName name="NLExtWorkSubmitSupplierStreet3">#REF!</definedName>
    <definedName name="NLExtWorkSubmitSupplierZipCode">#REF!</definedName>
    <definedName name="NLExtWorkSubmitVoltage">#REF!</definedName>
    <definedName name="NLExtWorkUserFax">#REF!</definedName>
    <definedName name="NLExtWorkUserName">#REF!</definedName>
    <definedName name="NLExtWorkUserPhone1">#REF!</definedName>
    <definedName name="NLExtWorkUserPhone2">#REF!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LPreownApprover">#REF!</definedName>
    <definedName name="NLPreownCode">#REF!</definedName>
    <definedName name="NLPreownDate">#REF!</definedName>
    <definedName name="NLPreOwnQuoteIdDesc">#REF!</definedName>
    <definedName name="NLPreownRecommendAge">#REF!</definedName>
    <definedName name="NLPreownRecommendAvailabilityDate">#REF!</definedName>
    <definedName name="NLPreownRecommendAvailabilityPlace">#REF!</definedName>
    <definedName name="NLPreownRecommendCode">#REF!</definedName>
    <definedName name="NLPreownRecommendComment">#REF!</definedName>
    <definedName name="NLPreownRecommendCost">#REF!</definedName>
    <definedName name="NLPreownRecommendDescription">#REF!</definedName>
    <definedName name="NLPreownRecommendFDO">#REF!</definedName>
    <definedName name="NLPreownRecommendInstallationCost">#REF!</definedName>
    <definedName name="NLPreownRecommendOption">#REF!</definedName>
    <definedName name="NLPreownRecommendOrder">#REF!</definedName>
    <definedName name="NLPreownRecommendQty">#REF!</definedName>
    <definedName name="NLPreownRecommendSellingPrice">#REF!</definedName>
    <definedName name="NLPreownRecommendStatus">#REF!</definedName>
    <definedName name="NLPreownRecommendTrainingCost">#REF!</definedName>
    <definedName name="NLPreownRecommendWarrantyCost">#REF!</definedName>
    <definedName name="NLPreOwnResponse">#REF!</definedName>
    <definedName name="NLPreOwnStatus">#REF!</definedName>
    <definedName name="NLPreownSubmitAge">#REF!</definedName>
    <definedName name="NLPreownSubmitAvailabilityDate">#REF!</definedName>
    <definedName name="NLPreownSubmitAvailabilityPlace">#REF!</definedName>
    <definedName name="NLPreownSubmitCode">#REF!</definedName>
    <definedName name="NLPreownSubmitComment">#REF!</definedName>
    <definedName name="NLPreownSubmitCost">#REF!</definedName>
    <definedName name="NLPreownSubmitDescription">#REF!</definedName>
    <definedName name="NLPreownSubmitFDO">#REF!</definedName>
    <definedName name="NLPreownSubmitInstallationCost">#REF!</definedName>
    <definedName name="NLPreownSubmitOption">#REF!</definedName>
    <definedName name="NLPreownSubmitOrder">#REF!</definedName>
    <definedName name="NLPreownSubmitQty">#REF!</definedName>
    <definedName name="NLPreownSubmitSellingPrice">#REF!</definedName>
    <definedName name="NLPreownSubmitStatus">#REF!</definedName>
    <definedName name="NLPreownSubmitTrainingCost">#REF!</definedName>
    <definedName name="NLPreownSubmitWarrantyCost">#REF!</definedName>
    <definedName name="NLPreOwnUserFax">#REF!</definedName>
    <definedName name="NLPreOwnUserName">#REF!</definedName>
    <definedName name="NLPreOwnUserPhone1">#REF!</definedName>
    <definedName name="NLPreOwnUserPhone2">#REF!</definedName>
    <definedName name="NLPrePostApprover">#REF!</definedName>
    <definedName name="NLPrePostCode">#REF!</definedName>
    <definedName name="NLPrePostDate">#REF!</definedName>
    <definedName name="NLPrePostQuoteIdDesc">#REF!</definedName>
    <definedName name="NLPrePostResponse">#REF!</definedName>
    <definedName name="NLPrePostStatus">#REF!</definedName>
    <definedName name="NLPrePostUserFax">#REF!</definedName>
    <definedName name="NLPrePostUserName">#REF!</definedName>
    <definedName name="NLPrePostUserPhone1">#REF!</definedName>
    <definedName name="NLPrePostUserPhone2">#REF!</definedName>
    <definedName name="NLPreRecommend">#REF!</definedName>
    <definedName name="NLPreSubmit">#REF!</definedName>
    <definedName name="NLProductApprover">#REF!</definedName>
    <definedName name="NLProductCode">#REF!</definedName>
    <definedName name="NLProductDate">#REF!</definedName>
    <definedName name="NLProductRecommend">#REF!</definedName>
    <definedName name="NLProductRecommendCode">#REF!</definedName>
    <definedName name="NLProductRecommendComment">#REF!</definedName>
    <definedName name="NLProductRecommendCost">#REF!</definedName>
    <definedName name="NLProductRecommendDescription">#REF!</definedName>
    <definedName name="NLProductRecommendDiscount">#REF!</definedName>
    <definedName name="NLProductRecommendInstallationCost">#REF!</definedName>
    <definedName name="NLProductRecommendListPrice">#REF!</definedName>
    <definedName name="NLProductRecommendOption">#REF!</definedName>
    <definedName name="NLProductRecommendOrder">#REF!</definedName>
    <definedName name="NLProductRecommendQty">#REF!</definedName>
    <definedName name="NLProductRecommendSellingPrice">#REF!</definedName>
    <definedName name="NLProductRecommendStatus">#REF!</definedName>
    <definedName name="NLProductRecommendTrainingCost">#REF!</definedName>
    <definedName name="NLProductRecommendWarrantyCost">#REF!</definedName>
    <definedName name="NLProductResponse">#REF!</definedName>
    <definedName name="NLProductStatus">#REF!</definedName>
    <definedName name="NLProductSubmit">#REF!</definedName>
    <definedName name="NLProductSubmitCode">#REF!</definedName>
    <definedName name="NLProductSubmitComment">#REF!</definedName>
    <definedName name="NLProductSubmitCost">#REF!</definedName>
    <definedName name="NLProductSubmitDescription">#REF!</definedName>
    <definedName name="NLProductSubmitDiscount">#REF!</definedName>
    <definedName name="NLProductSubmitInstallationCost">#REF!</definedName>
    <definedName name="NLProductSubmitListPrice">#REF!</definedName>
    <definedName name="NLProductSubmitOption">#REF!</definedName>
    <definedName name="NLProductSubmitOrder">#REF!</definedName>
    <definedName name="NLProductSubmitQty">#REF!</definedName>
    <definedName name="NLProductSubmitSellingPrice">#REF!</definedName>
    <definedName name="NLProductSubmitStatus">#REF!</definedName>
    <definedName name="NLProductSubmitTrainingCost">#REF!</definedName>
    <definedName name="NLProductSubmitWarrantyCost">#REF!</definedName>
    <definedName name="NLServAppApprover">#REF!</definedName>
    <definedName name="NLServAppCode">#REF!</definedName>
    <definedName name="NLServAppDate">#REF!</definedName>
    <definedName name="NLServApplApprover">#REF!</definedName>
    <definedName name="NLServApplCode">#REF!</definedName>
    <definedName name="NLServApplDate">#REF!</definedName>
    <definedName name="NLServApplRecommendCode">#REF!</definedName>
    <definedName name="NLServApplRecommendComment">#REF!</definedName>
    <definedName name="NLServApplRecommendCost">#REF!</definedName>
    <definedName name="NLServApplRecommendDescription">#REF!</definedName>
    <definedName name="NLServApplRecommendOption">#REF!</definedName>
    <definedName name="NLServApplRecommendOrder">#REF!</definedName>
    <definedName name="NLServApplRecommendQty">#REF!</definedName>
    <definedName name="NLServApplRecommendSellingPrice">#REF!</definedName>
    <definedName name="NLServApplRecommendstatus">#REF!</definedName>
    <definedName name="NLServApplResponse">#REF!</definedName>
    <definedName name="NLServApplStatus">#REF!</definedName>
    <definedName name="NLServApplSubmitCode">#REF!</definedName>
    <definedName name="NLServApplSubmitComment">#REF!</definedName>
    <definedName name="NLServApplSubmitCost">#REF!</definedName>
    <definedName name="NLServApplSubmitDescription">#REF!</definedName>
    <definedName name="NLServApplSubmitOption">#REF!</definedName>
    <definedName name="NLServApplSubmitOrder">#REF!</definedName>
    <definedName name="NLServApplSubmitQty">#REF!</definedName>
    <definedName name="NLServApplSubmitSellingPrice">#REF!</definedName>
    <definedName name="NLServApplSubmitStatus">#REF!</definedName>
    <definedName name="NLServAppQuoteIdDesc">#REF!</definedName>
    <definedName name="NLServAppResponse">#REF!</definedName>
    <definedName name="NLServAppStatus">#REF!</definedName>
    <definedName name="NLServAppUserFax">#REF!</definedName>
    <definedName name="NLServAppUserName">#REF!</definedName>
    <definedName name="NLServAppUserPhone1">#REF!</definedName>
    <definedName name="NLServAppUserPhone2">#REF!</definedName>
    <definedName name="NLServBusApprover">#REF!</definedName>
    <definedName name="NLServBusCode">#REF!</definedName>
    <definedName name="NLServBusDate">#REF!</definedName>
    <definedName name="NLServBusnApprover">#REF!</definedName>
    <definedName name="NLServBusnCode">#REF!</definedName>
    <definedName name="NLServBusnDate">#REF!</definedName>
    <definedName name="NLServBusnRecommendCode">#REF!</definedName>
    <definedName name="NLServBusnRecommendComment">#REF!</definedName>
    <definedName name="NLServBusnRecommendCost">#REF!</definedName>
    <definedName name="NLServBusnRecommendDescription">#REF!</definedName>
    <definedName name="NLServBusnRecommendOption">#REF!</definedName>
    <definedName name="NLServBusnRecommendOrder">#REF!</definedName>
    <definedName name="NLServBusnRecommendQty">#REF!</definedName>
    <definedName name="NLServBusnRecommendSellingPrice">#REF!</definedName>
    <definedName name="NLServBusnRecommendStatus">#REF!</definedName>
    <definedName name="NLServBusnResponse">#REF!</definedName>
    <definedName name="NLServBusnStatus">#REF!</definedName>
    <definedName name="NLServBusnSubmitCode">#REF!</definedName>
    <definedName name="NLServBusnSubmitComment">#REF!</definedName>
    <definedName name="NLServBusnSubmitCost">#REF!</definedName>
    <definedName name="NLServBusnSubmitDescription">#REF!</definedName>
    <definedName name="NLServBusnSubmitOption">#REF!</definedName>
    <definedName name="NLServBusnSubmitOrder">#REF!</definedName>
    <definedName name="NLServBusnSubmitQty">#REF!</definedName>
    <definedName name="NLServBusnSubmitSellingPrice">#REF!</definedName>
    <definedName name="NLServBusnSubmitStatus">#REF!</definedName>
    <definedName name="NLServBusQuoteIdDesc">#REF!</definedName>
    <definedName name="NLServBusResponse">#REF!</definedName>
    <definedName name="NLServBusStatus">#REF!</definedName>
    <definedName name="NLServBusUserFax">#REF!</definedName>
    <definedName name="NLServBusUserName">#REF!</definedName>
    <definedName name="NLServBusUserPhone1">#REF!</definedName>
    <definedName name="NLServBusUserPhone2">#REF!</definedName>
    <definedName name="NLServInstApprover">#REF!</definedName>
    <definedName name="NLServInstCode">#REF!</definedName>
    <definedName name="NLServInstDate">#REF!</definedName>
    <definedName name="NLServInstQuoteIdDesc">#REF!</definedName>
    <definedName name="NLServInstRecommendCode">#REF!</definedName>
    <definedName name="NLServInstRecommendComment">#REF!</definedName>
    <definedName name="NLServInstRecommendCost">#REF!</definedName>
    <definedName name="NLServInstRecommendDescription">#REF!</definedName>
    <definedName name="NLServInstRecommendOption">#REF!</definedName>
    <definedName name="NLServInstRecommendOrder">#REF!</definedName>
    <definedName name="NLServInstRecommendQty">#REF!</definedName>
    <definedName name="NLServInstRecommendSellingPrice">#REF!</definedName>
    <definedName name="NLServInstRecommendStatus">#REF!</definedName>
    <definedName name="NLServInstResponse">#REF!</definedName>
    <definedName name="NLServInstStatus">#REF!</definedName>
    <definedName name="NLServInstSubmitCode">#REF!</definedName>
    <definedName name="NLServInstSubmitComment">#REF!</definedName>
    <definedName name="NLServInstSubmitCost">#REF!</definedName>
    <definedName name="NLServInstSubmitDescription">#REF!</definedName>
    <definedName name="NLServInstSubmitOption">#REF!</definedName>
    <definedName name="NLServInstSubmitOrder">#REF!</definedName>
    <definedName name="NLServInstSubmitQty">#REF!</definedName>
    <definedName name="NLServInstSubmitSellingPrice">#REF!</definedName>
    <definedName name="NLServInstSubmitStatus">#REF!</definedName>
    <definedName name="NLServInstUserFax">#REF!</definedName>
    <definedName name="NLServInstUserName">#REF!</definedName>
    <definedName name="NLServInstUserPhone1">#REF!</definedName>
    <definedName name="NLServInstUserPhone2">#REF!</definedName>
    <definedName name="NLSoiApprover">#REF!</definedName>
    <definedName name="NLSoiCode">#REF!</definedName>
    <definedName name="NLSoiDate">#REF!</definedName>
    <definedName name="NLSOIQuoteIdDesc">#REF!</definedName>
    <definedName name="NLSoiRecommend">#REF!</definedName>
    <definedName name="NLSoiRecommendBudget">#REF!</definedName>
    <definedName name="NLSoiRecommendCode">#REF!</definedName>
    <definedName name="NLSoiRecommendComment">#REF!</definedName>
    <definedName name="NLSoiRecommendCommissioningDate">#REF!</definedName>
    <definedName name="NLSoiRecommendCost">#REF!</definedName>
    <definedName name="NLSoiRecommendDeliveryDate">#REF!</definedName>
    <definedName name="NLSoiRecommendDescription">#REF!</definedName>
    <definedName name="NLSoiRecommendDiscount">#REF!</definedName>
    <definedName name="NLSoiRecommendExamType">#REF!</definedName>
    <definedName name="NLSoiRecommendFDO">#REF!</definedName>
    <definedName name="NLSoiRecommendFieldEngineer">#REF!</definedName>
    <definedName name="NLSoiRecommendFMI">#REF!</definedName>
    <definedName name="NLSoiRecommendGEMSContact">#REF!</definedName>
    <definedName name="NLSoiRecommendInstallationCost">#REF!</definedName>
    <definedName name="NLSoiRecommendInstallationTime">#REF!</definedName>
    <definedName name="NLSoiRecommendListPrice">#REF!</definedName>
    <definedName name="NLSoiRecommendMUST">#REF!</definedName>
    <definedName name="NLSoiRecommendOption">#REF!</definedName>
    <definedName name="NLSoiRecommendOrder">#REF!</definedName>
    <definedName name="NLSoiRecommendProposalValidity">#REF!</definedName>
    <definedName name="NLSoiRecommendQty">#REF!</definedName>
    <definedName name="NLSoiRecommendRequestedDate">#REF!</definedName>
    <definedName name="NLSoiRecommendSellingPrice">#REF!</definedName>
    <definedName name="NLSoiRecommendSoftVersion">#REF!</definedName>
    <definedName name="NLSoiRecommendSpecialEquipment">#REF!</definedName>
    <definedName name="NLSoiRecommendStatus">#REF!</definedName>
    <definedName name="NLSoiRecommendStrategicInterest">#REF!</definedName>
    <definedName name="NLSoiRecommendTenderDate">#REF!</definedName>
    <definedName name="NLSoiRecommendTrainingCost">#REF!</definedName>
    <definedName name="NLSoiRecommendWarrantyCost">#REF!</definedName>
    <definedName name="NLSOIResponse">#REF!</definedName>
    <definedName name="NLSOIStatus">#REF!</definedName>
    <definedName name="NLSoiSubmit">#REF!</definedName>
    <definedName name="NLSoiSubmitBudget">#REF!</definedName>
    <definedName name="NLSoiSubmitCode">#REF!</definedName>
    <definedName name="NLSoiSubmitComment">#REF!</definedName>
    <definedName name="NLSoiSubmitCommissioningDate">#REF!</definedName>
    <definedName name="NLSoiSubmitCost">#REF!</definedName>
    <definedName name="NLSoiSubmitDeliveryDate">#REF!</definedName>
    <definedName name="NLSoiSubmitDescription">#REF!</definedName>
    <definedName name="NLSoiSubmitDiscount">#REF!</definedName>
    <definedName name="NLSoiSubmitExamType">#REF!</definedName>
    <definedName name="NLSoiSubmitFDO">#REF!</definedName>
    <definedName name="NLSoiSubmitFieldEngineer">#REF!</definedName>
    <definedName name="NLSoiSubmitFMI">#REF!</definedName>
    <definedName name="NLSoiSubmitGEMSContact">#REF!</definedName>
    <definedName name="NLSoiSubmitInstallationCost">#REF!</definedName>
    <definedName name="NLSoiSubmitInstallationTime">#REF!</definedName>
    <definedName name="NLSoiSubmitListPrice">#REF!</definedName>
    <definedName name="NLSoiSubmitMUST">#REF!</definedName>
    <definedName name="NLSoiSubmitOption">#REF!</definedName>
    <definedName name="NLSoiSubmitOrder">#REF!</definedName>
    <definedName name="NLSoiSubmitProposalValidity">#REF!</definedName>
    <definedName name="NLSoiSubmitQty">#REF!</definedName>
    <definedName name="NLSoiSubmitRequestedDate">#REF!</definedName>
    <definedName name="NLSoiSubmitSellingPrice">#REF!</definedName>
    <definedName name="NLSoiSubmitSoftVersion">#REF!</definedName>
    <definedName name="NLSoiSubmitSpecialEquipment">#REF!</definedName>
    <definedName name="NLSoiSubmitStatus">#REF!</definedName>
    <definedName name="NLSoiSubmitStrategicInterest">#REF!</definedName>
    <definedName name="NLSoiSubmitTenderDate">#REF!</definedName>
    <definedName name="NLSoiSubmitTrainingCost">#REF!</definedName>
    <definedName name="NLSoiSubmitWarrantyCost">#REF!</definedName>
    <definedName name="NLSOIUserFax">#REF!</definedName>
    <definedName name="NLSOIUserName">#REF!</definedName>
    <definedName name="NLSOIUserPhone1">#REF!</definedName>
    <definedName name="NLSOIUserPhone2">#REF!</definedName>
    <definedName name="NLTradeInAddress">#REF!</definedName>
    <definedName name="NLTradeInAllowance">#REF!</definedName>
    <definedName name="NLTradeInApprover">#REF!</definedName>
    <definedName name="NLTradeInAvailabilityDate">#REF!</definedName>
    <definedName name="NLTradeInCampaign">#REF!</definedName>
    <definedName name="NLTradeInCode">#REF!</definedName>
    <definedName name="NLTradeInComments">#REF!</definedName>
    <definedName name="NLTradeInDate">#REF!</definedName>
    <definedName name="NLTradeInEquipmentType">#REF!</definedName>
    <definedName name="NLTradeInInstBase">#REF!</definedName>
    <definedName name="NLTradeInInventoryValue">#REF!</definedName>
    <definedName name="NLTradeInOriginalFDO">#REF!</definedName>
    <definedName name="NLTradeInQuoteIdDesc">#REF!</definedName>
    <definedName name="NLTradeInRecommendDisposition">#REF!</definedName>
    <definedName name="NLTradeInResponse">#REF!</definedName>
    <definedName name="NLTradeInStatus">#REF!</definedName>
    <definedName name="NLTradeInSubmitDisposition">#REF!</definedName>
    <definedName name="NLTradeInUserFax">#REF!</definedName>
    <definedName name="NLTradeInUserName">#REF!</definedName>
    <definedName name="NLTradeInUserPhone1">#REF!</definedName>
    <definedName name="NLTradeInUserPhone2">#REF!</definedName>
    <definedName name="NM1AD">#REF!</definedName>
    <definedName name="NM1ARL">#REF!</definedName>
    <definedName name="NM1BLD">#REF!</definedName>
    <definedName name="NM1BRL">#REF!</definedName>
    <definedName name="NM1CLCF">#REF!</definedName>
    <definedName name="NM1CLCP">#REF!</definedName>
    <definedName name="NM1CLF">#REF!</definedName>
    <definedName name="NM1CLP">#REF!</definedName>
    <definedName name="NM1DF">#REF!</definedName>
    <definedName name="NM1DP">#REF!</definedName>
    <definedName name="NM1MR">#REF!</definedName>
    <definedName name="NM1OP">#REF!</definedName>
    <definedName name="NM1RL">#REF!</definedName>
    <definedName name="NM1SAF">#REF!</definedName>
    <definedName name="NM1SAP">#REF!</definedName>
    <definedName name="NM2CLF">#REF!</definedName>
    <definedName name="NM2CLP">#REF!</definedName>
    <definedName name="NM2DF">#REF!</definedName>
    <definedName name="NM2DP">#REF!</definedName>
    <definedName name="NM2MR">#REF!</definedName>
    <definedName name="NM2RL">#REF!</definedName>
    <definedName name="NM2SAF">#REF!</definedName>
    <definedName name="NM2SAP">#REF!</definedName>
    <definedName name="NM3CLF">#REF!</definedName>
    <definedName name="NM3CLP">#REF!</definedName>
    <definedName name="NM3DF">#REF!</definedName>
    <definedName name="NM3DP">#REF!</definedName>
    <definedName name="NM3MR">#REF!</definedName>
    <definedName name="NM3RL">#REF!</definedName>
    <definedName name="NM3SAF">#REF!</definedName>
    <definedName name="NM3SAP">#REF!</definedName>
    <definedName name="nmact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M">#REF!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p">#REF!</definedName>
    <definedName name="NMX_share">#REF!</definedName>
    <definedName name="nn">#REF!</definedName>
    <definedName name="nne">#REF!</definedName>
    <definedName name="nnh" hidden="1">{"Pa1",#N/A,FALSE,"OpExYTDvsPY";"Pa2",#N/A,FALSE,"OpExYTDvsPY"}</definedName>
    <definedName name="NNHN">#REF!</definedName>
    <definedName name="nnn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nnnb" hidden="1">{"consolidated",#N/A,FALSE,"Sheet1";"cms",#N/A,FALSE,"Sheet1";"fse",#N/A,FALSE,"Sheet1"}</definedName>
    <definedName name="NNNNN">#REF!</definedName>
    <definedName name="nnoo">#REF!</definedName>
    <definedName name="NNP">#REF!</definedName>
    <definedName name="No">#REF!</definedName>
    <definedName name="No.shr">5000</definedName>
    <definedName name="nod">#REF!</definedName>
    <definedName name="noidea" hidden="1">{#N/A,#N/A,FALSE,"Calc";#N/A,#N/A,FALSE,"Sensitivity";#N/A,#N/A,FALSE,"LT Earn.Dil.";#N/A,#N/A,FALSE,"Dil. AVP"}</definedName>
    <definedName name="NON_BILLABLE">#REF!</definedName>
    <definedName name="Non_Moving_COL_Detail">#REF!</definedName>
    <definedName name="Non_Moving_PrePay_Detail">#REF!</definedName>
    <definedName name="NonFlowReduction">#REF!</definedName>
    <definedName name="NonOperatingItemsBudget">#REF!</definedName>
    <definedName name="NonOperatingItemsMonth1Actuals">#REF!</definedName>
    <definedName name="NonOperatingItemsMonth1Budget">#REF!</definedName>
    <definedName name="NonOperatingItemsMonth2Actuals">#REF!</definedName>
    <definedName name="NonOperatingItemsMonth2Budget">#REF!</definedName>
    <definedName name="NonOperatingItemsMonth3Actuals">#REF!</definedName>
    <definedName name="NonOperatingItemsMonth3Budget">#REF!</definedName>
    <definedName name="NonOperatingItemsMonth4Actuals">#REF!</definedName>
    <definedName name="NonOperatingItemsMonth4Budget">#REF!</definedName>
    <definedName name="NonOperatingItemsYTDActuals">#REF!</definedName>
    <definedName name="NonOperatingItemsYTDBudget">#REF!</definedName>
    <definedName name="NonStdStatus">#REF!</definedName>
    <definedName name="NOOFFFSEGMENTS1">#REF!</definedName>
    <definedName name="NOOFFFSEGMENTS2">#REF!</definedName>
    <definedName name="NOOFFFSEGMENTS3">#REF!</definedName>
    <definedName name="NOPAT">#REF!</definedName>
    <definedName name="nopat97">#REF!</definedName>
    <definedName name="nopatadj">#REF!</definedName>
    <definedName name="nopatcapital97">#REF!</definedName>
    <definedName name="NOPATMonth1Actuals">#REF!</definedName>
    <definedName name="NOPATMonth1Budget">#REF!</definedName>
    <definedName name="NOPATMonth2Actuals">#REF!</definedName>
    <definedName name="NOPATMonth2Budget">#REF!</definedName>
    <definedName name="NOPATMonth3Actuals">#REF!</definedName>
    <definedName name="NOPATMonth3Budget">#REF!</definedName>
    <definedName name="NOPATMonth4Actuals">#REF!</definedName>
    <definedName name="NOPATMonth4Budget">#REF!</definedName>
    <definedName name="NOPATMonth5Actuals">#REF!</definedName>
    <definedName name="NOPATMonth5Budget">#REF!</definedName>
    <definedName name="nopatsales97">#REF!</definedName>
    <definedName name="NOPATYTDActuals">#REF!</definedName>
    <definedName name="NOPATYTDBudget">#REF!</definedName>
    <definedName name="NORIN">#N/A</definedName>
    <definedName name="NORM">#REF!</definedName>
    <definedName name="North_1">#REF!</definedName>
    <definedName name="North_2">#REF!</definedName>
    <definedName name="North_3">#REF!</definedName>
    <definedName name="Norway">#REF!</definedName>
    <definedName name="Nos">#REF!</definedName>
    <definedName name="Not_Allocated">#REF!</definedName>
    <definedName name="note">#REF!</definedName>
    <definedName name="NOTE_1">#REF!</definedName>
    <definedName name="Note_10_12">#REF!</definedName>
    <definedName name="note_1to7">#REF!</definedName>
    <definedName name="NOTE_2">#REF!</definedName>
    <definedName name="NOTE_3">#REF!</definedName>
    <definedName name="NOTE_4">#REF!</definedName>
    <definedName name="Note_7_9">#REF!</definedName>
    <definedName name="NOTE_8">#REF!</definedName>
    <definedName name="Note_A">#REF!</definedName>
    <definedName name="Note_a_new">#REF!</definedName>
    <definedName name="Note_Cap_Crit">#REF!</definedName>
    <definedName name="Note_inc_Exp">#REF!</definedName>
    <definedName name="Note_to_Auditors">#REF!</definedName>
    <definedName name="nOTE1">#REF!</definedName>
    <definedName name="NOTE2">#REF!</definedName>
    <definedName name="NOTE3">#REF!</definedName>
    <definedName name="NOTES">#REF!</definedName>
    <definedName name="Notes_1_6">#REF!</definedName>
    <definedName name="notes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MAINCOMP">#REF!</definedName>
    <definedName name="notes12">#REF!</definedName>
    <definedName name="NOTES1314">#REF!</definedName>
    <definedName name="notes2021">#REF!</definedName>
    <definedName name="notes22">#REF!</definedName>
    <definedName name="notesforcomp">#REF!</definedName>
    <definedName name="nouv" hidden="1">{#N/A,#N/A,FALSE,"Pharm";#N/A,#N/A,FALSE,"WWCM"}</definedName>
    <definedName name="NOV">#REF!</definedName>
    <definedName name="november">#REF!</definedName>
    <definedName name="NovEur">#REF!</definedName>
    <definedName name="novpdc">#REF!</definedName>
    <definedName name="NOVPLAN">#REF!</definedName>
    <definedName name="NOVSBH">#REF!</definedName>
    <definedName name="NOVSBI">#REF!</definedName>
    <definedName name="NOVSBM">#REF!</definedName>
    <definedName name="NovUSD">#REF!</definedName>
    <definedName name="ñp" hidden="1">{#N/A,"PURCHM",FALSE,"Business Analysis";#N/A,"SPADD",FALSE,"Business Analysis"}</definedName>
    <definedName name="np_sstd">#REF!</definedName>
    <definedName name="NPB">#REF!</definedName>
    <definedName name="NPV">#REF!</definedName>
    <definedName name="NPV_Rate">#REF!</definedName>
    <definedName name="NRJ">#REF!</definedName>
    <definedName name="NSDL">#N/A</definedName>
    <definedName name="nSkip">15</definedName>
    <definedName name="nsl">#REF!</definedName>
    <definedName name="NSLTApprovalComment">#REF!</definedName>
    <definedName name="NSLTApprover">#REF!</definedName>
    <definedName name="NSLTCode">#REF!</definedName>
    <definedName name="NSLTDate">#REF!</definedName>
    <definedName name="NSLTQuoteIDDesc">#REF!</definedName>
    <definedName name="NSLTResponse">#REF!</definedName>
    <definedName name="NSLTStatus">#REF!</definedName>
    <definedName name="NSLTUserFax">#REF!</definedName>
    <definedName name="NSLTUserName">#REF!</definedName>
    <definedName name="NSLTUserPhone1">#REF!</definedName>
    <definedName name="NSLTUserPhone2">#REF!</definedName>
    <definedName name="NSMAR">#REF!</definedName>
    <definedName name="NSMGS">#REF!</definedName>
    <definedName name="NSPTApprovalComment">#REF!</definedName>
    <definedName name="NSPTApprover">#REF!</definedName>
    <definedName name="NSPTCode">#REF!</definedName>
    <definedName name="NSPTDate">#REF!</definedName>
    <definedName name="NSPTQuoteIDDesc">#REF!</definedName>
    <definedName name="NSPTResponse">#REF!</definedName>
    <definedName name="NSPTStatus">#REF!</definedName>
    <definedName name="NSPTUserFax">#REF!</definedName>
    <definedName name="NSPTUserName">#REF!</definedName>
    <definedName name="NSPTUserPhone1">#REF!</definedName>
    <definedName name="NSPTUserPhone2">#REF!</definedName>
    <definedName name="ns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T03E">#REF!</definedName>
    <definedName name="NT06E">#REF!</definedName>
    <definedName name="ntpl_cy.coa_check">#N/A</definedName>
    <definedName name="ntpl_cy.CREDIT">#N/A</definedName>
    <definedName name="ntpl_cy.Credits">#N/A</definedName>
    <definedName name="ntpl_cy.Data">#N/A</definedName>
    <definedName name="ntpl_cy.DataPT">#N/A</definedName>
    <definedName name="ntpl_cy.DEBIT">#N/A</definedName>
    <definedName name="ntpl_cy.Debits">#N/A</definedName>
    <definedName name="ntpl_cy.Description">#N/A</definedName>
    <definedName name="ntpl_cy.Ending_Balance">#N/A</definedName>
    <definedName name="ntpl_cy.Header">OFFSET(#REF!,0,0,1,COUNTA(#REF!))</definedName>
    <definedName name="ntpl_cy.Net_Dr">#N/A</definedName>
    <definedName name="ntpl_py.coa_check">#N/A</definedName>
    <definedName name="ntpl_py.CREDIT">#N/A</definedName>
    <definedName name="ntpl_py.Credits">#N/A</definedName>
    <definedName name="ntpl_py.Data">#N/A</definedName>
    <definedName name="ntpl_py.DataPT">#N/A</definedName>
    <definedName name="ntpl_py.DEBIT">#N/A</definedName>
    <definedName name="ntpl_py.Debits">#N/A</definedName>
    <definedName name="ntpl_py.Description">#N/A</definedName>
    <definedName name="ntpl_py.Ending_Balance">#N/A</definedName>
    <definedName name="ntpl_py.Header">OFFSET(#REF!,0,0,1,COUNTA(#REF!))</definedName>
    <definedName name="ntpl_py.Net_Dr">#N/A</definedName>
    <definedName name="NucAMSAprInv">#REF!</definedName>
    <definedName name="NucAMSAugInv">#REF!</definedName>
    <definedName name="NucAMSDecInv">#REF!</definedName>
    <definedName name="NucAMSFebInv">#REF!</definedName>
    <definedName name="NucAMSJanInv">#REF!</definedName>
    <definedName name="NucAMSJulInv">#REF!</definedName>
    <definedName name="NucAMSJunInv">#REF!</definedName>
    <definedName name="NucAMSMarInv">#REF!</definedName>
    <definedName name="NucAMSMayInv">#REF!</definedName>
    <definedName name="NucAMSNovInv">#REF!</definedName>
    <definedName name="NucAMSOctInv">#REF!</definedName>
    <definedName name="NucAMSSepInv">#REF!</definedName>
    <definedName name="nuijh467" hidden="1">{"detail",#N/A,FALSE,"mfg";"summary",#N/A,FALSE,"mfg"}</definedName>
    <definedName name="NUK">#REF!</definedName>
    <definedName name="Null_LocationSheet6">#REF!</definedName>
    <definedName name="Num_Pmt_Per_Year">#REF!</definedName>
    <definedName name="NUMBER">#REF!</definedName>
    <definedName name="Number_Fax">#REF!</definedName>
    <definedName name="Number_of_Payments">MATCH(0.01,#REF!,-1)+1</definedName>
    <definedName name="Number_of_Selections">#REF!</definedName>
    <definedName name="NumberArea">#REF!</definedName>
    <definedName name="NUMBEROFDETAILFIELDS1">#REF!</definedName>
    <definedName name="NUMBEROFDETAILFIELDS2">#REF!</definedName>
    <definedName name="NUMBEROFDETAILFIELDS3">#REF!</definedName>
    <definedName name="NUMBEROFHEADERFIELDS1">#REF!</definedName>
    <definedName name="NUMBEROFHEADERFIELDS2">#REF!</definedName>
    <definedName name="NUMBEROFHEADERFIELDS3">#REF!</definedName>
    <definedName name="NUMERO">#REF!</definedName>
    <definedName name="numofpers">#REF!</definedName>
    <definedName name="NUMOPERS">#REF!</definedName>
    <definedName name="numpers">#REF!</definedName>
    <definedName name="nuna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P">#REF!</definedName>
    <definedName name="Nut_M6_Hex_Flng">#REF!</definedName>
    <definedName name="Nut_M6_Hex_Flng_P_T_MTL_8">#REF!</definedName>
    <definedName name="Nutra_Total">#REF!</definedName>
    <definedName name="Nutyumz">#REF!</definedName>
    <definedName name="NvsASD">"V2006-08-31"</definedName>
    <definedName name="NvsAutoDrillOk">"VN"</definedName>
    <definedName name="NvsElapsedTime">0.00229166667122627</definedName>
    <definedName name="NvsEndTime">38973.6002314814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"%,X,RZF..R00B,CPF..C00B"</definedName>
    <definedName name="NvsPanelBusUnit">"V07870"</definedName>
    <definedName name="NvsPanelEffdt">"V1900-01-01"</definedName>
    <definedName name="NvsPanelSetid">"VGLOBL"</definedName>
    <definedName name="NvsReqBU">"V07870"</definedName>
    <definedName name="NvsReqBUOnly">"VY"</definedName>
    <definedName name="NvsStyleNme">"Nocturne.xls"</definedName>
    <definedName name="NvsTransLed">"VN"</definedName>
    <definedName name="NvsTreeASD">"V2006-08-31"</definedName>
    <definedName name="NvsValTbl.ACCOUNT">"GL_ACCOUNT_TBL"</definedName>
    <definedName name="NvsValTbl.BOOK_CODE">"BOOK_CODE_TBL"</definedName>
    <definedName name="NvsValTbl.BUSINESS_UNIT">"BUS_UNIT_TBL_GL"</definedName>
    <definedName name="NvsValTbl.CURRENCY_CD">"CURRENCY_CD_TBL"</definedName>
    <definedName name="NvsValTbl.DEPTID">"DEPT_TBL"</definedName>
    <definedName name="NvsValTbl.OPERATING_UNIT">"OPER_UNIT_TBL"</definedName>
    <definedName name="NvsValTbl.PRODUCT">"PRODUCT_TBL"</definedName>
    <definedName name="NvsValTbl.STATISTICS_CODE">"STAT_TBL"</definedName>
    <definedName name="NWNSM">#REF!</definedName>
    <definedName name="N행">#REF!</definedName>
    <definedName name="o">#REF!</definedName>
    <definedName name="O?">#REF!</definedName>
    <definedName name="º?°æ">#REF!</definedName>
    <definedName name="º¯°æ">#REF!</definedName>
    <definedName name="O¤eEoÆ¿ø_oÆ¡I">#REF!</definedName>
    <definedName name="Ó¤êÈôÆ¿ø_ôÆ¡Í">#REF!</definedName>
    <definedName name="O4.1">#REF!</definedName>
    <definedName name="O4.10">#REF!</definedName>
    <definedName name="O4.11">#REF!</definedName>
    <definedName name="O4.12">#REF!</definedName>
    <definedName name="O4.13">#REF!</definedName>
    <definedName name="O4.2">#REF!</definedName>
    <definedName name="O4.3">#REF!</definedName>
    <definedName name="O4.4">#REF!</definedName>
    <definedName name="O4.5">#REF!</definedName>
    <definedName name="O4.6">#REF!</definedName>
    <definedName name="O4.7">#REF!</definedName>
    <definedName name="O4.8">#REF!</definedName>
    <definedName name="O4.9">#REF!</definedName>
    <definedName name="O6.5">#REF!</definedName>
    <definedName name="O6.6">#REF!</definedName>
    <definedName name="O6.7">#REF!</definedName>
    <definedName name="O6.8">#REF!</definedName>
    <definedName name="OA">#REF!</definedName>
    <definedName name="OA_ADV_CAPITAL_EXPENDITURE">#REF!</definedName>
    <definedName name="OA_BUILDING_Factory">#REF!</definedName>
    <definedName name="OA_BUILDING_Non_Factory">#REF!</definedName>
    <definedName name="OA_FURNITURE">#REF!</definedName>
    <definedName name="OA_LAND_Freehold">#REF!</definedName>
    <definedName name="OA_LAND_Leasehold">#REF!</definedName>
    <definedName name="OA_PLANT_Computers">#REF!</definedName>
    <definedName name="OA_PLANT_Factory">#REF!</definedName>
    <definedName name="OA_PLANT_Motor_Cars">#REF!</definedName>
    <definedName name="OA_PLANT_Office_Equipments">#REF!</definedName>
    <definedName name="OA_PLANT_Wind_Mills">#REF!</definedName>
    <definedName name="OB">#REF!</definedName>
    <definedName name="obamaouyte">#REF!</definedName>
    <definedName name="obgI">#REF!</definedName>
    <definedName name="OBPL">#REF!</definedName>
    <definedName name="OBSTOCK">#REF!</definedName>
    <definedName name="OÇà">#REF!</definedName>
    <definedName name="OCC">#REF!</definedName>
    <definedName name="OCC_SWITCH">#REF!</definedName>
    <definedName name="OCF9899DETAILS">#REF!</definedName>
    <definedName name="OCF9900DETAILS">#REF!</definedName>
    <definedName name="ocpl">#REF!</definedName>
    <definedName name="ocplratio">#REF!</definedName>
    <definedName name="OCR">#REF!</definedName>
    <definedName name="OCT">#REF!</definedName>
    <definedName name="OctEur">#REF!</definedName>
    <definedName name="OCTLTM">#REF!</definedName>
    <definedName name="october">#REF!</definedName>
    <definedName name="OCTPLAN">#REF!</definedName>
    <definedName name="octroi">#REF!</definedName>
    <definedName name="OCTSBI">#REF!</definedName>
    <definedName name="OCTSBM">#REF!</definedName>
    <definedName name="OctUSD">#REF!</definedName>
    <definedName name="od" hidden="1">{#N/A,#N/A,FALSE,"Aging Summary";#N/A,#N/A,FALSE,"Ratio Analysis";#N/A,#N/A,FALSE,"Test 120 Day Accts";#N/A,#N/A,FALSE,"Tickmarks"}</definedName>
    <definedName name="odaki">#REF!</definedName>
    <definedName name="ODBL">#REF!</definedName>
    <definedName name="ODNOI">#REF!</definedName>
    <definedName name="ODPL">#REF!</definedName>
    <definedName name="OE">#REF!</definedName>
    <definedName name="oec_demo">#REF!</definedName>
    <definedName name="oec_fg">#REF!</definedName>
    <definedName name="oec_ops">#REF!</definedName>
    <definedName name="oec_parts">#REF!</definedName>
    <definedName name="oec_prior">#REF!</definedName>
    <definedName name="oec_psi">#REF!</definedName>
    <definedName name="oec_ripwip">#REF!</definedName>
    <definedName name="OEQP">#REF!</definedName>
    <definedName name="of_Employee_s">#REF!</definedName>
    <definedName name="OFC">#REF!</definedName>
    <definedName name="off">#REF!</definedName>
    <definedName name="OFFEQ">#REF!</definedName>
    <definedName name="offer_NO">#REF!</definedName>
    <definedName name="office">#REF!</definedName>
    <definedName name="OFFICE_EQUIPMENT">#REF!</definedName>
    <definedName name="Office_Equipments">#REF!</definedName>
    <definedName name="Office10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Office1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Office12" hidden="1">{#N/A,#N/A,FALSE,"5YRASSPl - consol'd";#N/A,#N/A,FALSE,"5YRASSPl - hotel";#N/A,#N/A,FALSE,"5YRASSPl - excl htl";#N/A,#N/A,FALSE,"VarReport";#N/A,#N/A,FALSE,"Sensitivity";#N/A,#N/A,FALSE,"House View ";#N/A,#N/A,FALSE,"KPI"}</definedName>
    <definedName name="Office2" hidden="1">{#N/A,#N/A,FALSE,"5YRASSPl - consol'd";#N/A,#N/A,FALSE,"5YRASSPl - hotel";#N/A,#N/A,FALSE,"5YRASSPl - excl htl";#N/A,#N/A,FALSE,"VarReport";#N/A,#N/A,FALSE,"Sensitivity";#N/A,#N/A,FALSE,"House View ";#N/A,#N/A,FALSE,"KPI"}</definedName>
    <definedName name="Office3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Office4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Office5" hidden="1">{#N/A,#N/A,FALSE,"5YRASSPl - consol'd";#N/A,#N/A,FALSE,"5YRASSPl - hotel";#N/A,#N/A,FALSE,"5YRASSPl - excl htl";#N/A,#N/A,FALSE,"VarReport";#N/A,#N/A,FALSE,"Sensitivity";#N/A,#N/A,FALSE,"House View ";#N/A,#N/A,FALSE,"KPI"}</definedName>
    <definedName name="Office6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Office7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Office8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Office9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officeexp">#REF!</definedName>
    <definedName name="OfficeExpenses">#REF!</definedName>
    <definedName name="OFFJT?">#REF!</definedName>
    <definedName name="OFFJT계">#REF!</definedName>
    <definedName name="OFXMTH">#REF!</definedName>
    <definedName name="ogcfour">#REF!</definedName>
    <definedName name="ogcI">#REF!</definedName>
    <definedName name="ogcII">#REF!</definedName>
    <definedName name="ogcIII">#REF!</definedName>
    <definedName name="ogcIV">#REF!</definedName>
    <definedName name="ogcone">#REF!</definedName>
    <definedName name="ogcthree">#REF!</definedName>
    <definedName name="ogctwo">#REF!</definedName>
    <definedName name="OH">#REF!</definedName>
    <definedName name="Oher_services">#REF!</definedName>
    <definedName name="ºI¼­">#REF!</definedName>
    <definedName name="ºÎ¼­">#REF!</definedName>
    <definedName name="OIC">{#N/A,#N/A,FALSE,"PMTABB";#N/A,#N/A,FALSE,"PMTABB"}</definedName>
    <definedName name="OIC_1">{#N/A,#N/A,FALSE,"PMTABB";#N/A,#N/A,FALSE,"PMTABB"}</definedName>
    <definedName name="OIC_2">{#N/A,#N/A,FALSE,"PMTABB";#N/A,#N/A,FALSE,"PMTABB"}</definedName>
    <definedName name="OIC_3">{#N/A,#N/A,FALSE,"PMTABB";#N/A,#N/A,FALSE,"PMTABB"}</definedName>
    <definedName name="OIC_4">{#N/A,#N/A,FALSE,"PMTABB";#N/A,#N/A,FALSE,"PMTABB"}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l.con">#REF!</definedName>
    <definedName name="oimn" hidden="1">{"QTD_PRS",#N/A,FALSE,"QTD"}</definedName>
    <definedName name="oink" hidden="1">{"TOTAL",#N/A,FALSE,"A";"FISCAL94",#N/A,FALSE,"A";"FISCAL95",#N/A,FALSE,"A";"FISCAL96",#N/A,FALSE,"A";"misc page",#N/A,FALSE,"A"}</definedName>
    <definedName name="oins" hidden="1">{"detail",#N/A,FALSE,"mfg";"summary",#N/A,FALSE,"mfg"}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{"AS REP",#N/A,FALSE,"EEFSNAP2";"PROP",#N/A,FALSE,"EEFSNAP2";"RISKS",#N/A,FALSE,"EEFSNAP2";"VIEW ALL",#N/A,FALSE,"EEFSNAP2"}</definedName>
    <definedName name="oiup" hidden="1">{#N/A,"PURCHM",FALSE,"Business Analysis";#N/A,"SPADD",FALSE,"Business Analysis"}</definedName>
    <definedName name="oiuy" hidden="1">{"Polymers Details",#N/A,FALSE,"Current Yr";"Polymer Details",#N/A,FALSE,"Budget";"Polymer Details",#N/A,FALSE,"Prior Year"}</definedName>
    <definedName name="OJT계">#REF!</definedName>
    <definedName name="OK" hidden="1">{#N/A,#N/A,FALSE,"REPORT"}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>#REF!</definedName>
    <definedName name="old_serial">#REF!</definedName>
    <definedName name="oldCoverDate">#REF!</definedName>
    <definedName name="oldn">#REF!</definedName>
    <definedName name="oldo">#REF!</definedName>
    <definedName name="oldoo">#REF!</definedName>
    <definedName name="oldtb">#REF!</definedName>
    <definedName name="OLDVSNEW">#REF!</definedName>
    <definedName name="OLE_LINK1">#REF!</definedName>
    <definedName name="Oli" hidden="1">#REF!</definedName>
    <definedName name="OLiving">#REF!</definedName>
    <definedName name="olk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hidden="1">{"A COM Detail YTD",#N/A,FALSE,"DATA";"B Exp Detail YTD",#N/A,FALSE,"DATA";"C COM Detail Qtr of",#N/A,FALSE,"DATA";"D Exp Detail Qtr of",#N/A,FALSE,"DATA";"A Performance Report",#N/A,FALSE,"%Performance"}</definedName>
    <definedName name="OLTOTAL">#REF!</definedName>
    <definedName name="om" hidden="1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ompl">#REF!</definedName>
    <definedName name="OMS">#REF!</definedName>
    <definedName name="on" hidden="1">{"overview",#N/A,FALSE,"summary";"net assets",#N/A,FALSE,"summary";"asset turnover",#N/A,FALSE,"summary";"orona",#N/A,FALSE,"summary"}</definedName>
    <definedName name="ºn±³A">#REF!</definedName>
    <definedName name="ºñ±³A">#REF!</definedName>
    <definedName name="ONE">#REF!</definedName>
    <definedName name="OneTwenty_From">#REF!</definedName>
    <definedName name="OneTwenty_To">#REF!</definedName>
    <definedName name="ong">#REF!</definedName>
    <definedName name="ONIDA">#REF!</definedName>
    <definedName name="onj" hidden="1">{"Pa1",#N/A,FALSE,"OpExYTDvsPY";"Pa2",#N/A,FALSE,"OpExYTDvsPY"}</definedName>
    <definedName name="onv" hidden="1">{"page 1",#N/A,FALSE,"A";"page 2",#N/A,FALSE,"A";"page 3",#N/A,FALSE,"A";"page 4",#N/A,FALSE,"A";"page 5",#N/A,FALSE,"A"}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òòààà" hidden="1">{"'BGT2001'!$A$1:$AE$112"}</definedName>
    <definedName name="ööl" hidden="1">{#N/A,#N/A,FALSE,"KA CH  (2)"}</definedName>
    <definedName name="öölälkk" hidden="1">{#N/A,#N/A,FALSE,"Umsatz 99";#N/A,#N/A,FALSE,"ER 99 "}</definedName>
    <definedName name="ooled">#REF!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>#REF!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ooooo" hidden="1">{#N/A,#N/A,FALSE,"Calc";#N/A,#N/A,FALSE,"Sensitivity";#N/A,#N/A,FALSE,"LT Earn.Dil.";#N/A,#N/A,FALSE,"Dil. AVP"}</definedName>
    <definedName name="oooooooo" hidden="1">{#N/A,#N/A,FALSE,"Umsatz 99";#N/A,#N/A,FALSE,"ER 99 "}</definedName>
    <definedName name="ooox">#REF!</definedName>
    <definedName name="oop_balance_sheet_summary">#REF!</definedName>
    <definedName name="oop_bookings">#REF!</definedName>
    <definedName name="oop_bookings_and_backlog_detail">#REF!</definedName>
    <definedName name="oop_bookings_summary">#REF!</definedName>
    <definedName name="oop_direct_margin_rate">#REF!</definedName>
    <definedName name="oop_gross_margin">#REF!</definedName>
    <definedName name="oop_gross_margin_percent">#REF!</definedName>
    <definedName name="oop_headcount">#REF!</definedName>
    <definedName name="oop_income_statement_detail">#REF!</definedName>
    <definedName name="oop_income_statement_variances">#REF!</definedName>
    <definedName name="oop_inventory">#REF!</definedName>
    <definedName name="oop_net_cash_position">#REF!</definedName>
    <definedName name="oop_operating_cash_flow">#REF!</definedName>
    <definedName name="oop_operating_measures">#REF!</definedName>
    <definedName name="oop_operating_summary">#REF!</definedName>
    <definedName name="oop_recaps">#REF!</definedName>
    <definedName name="oop_return_on_managed_assets">#REF!</definedName>
    <definedName name="oop_sales_and_margin">#REF!</definedName>
    <definedName name="oop_trade_accounts_payables">#REF!</definedName>
    <definedName name="oop_trade_accounts_receivables">#REF!</definedName>
    <definedName name="oop_trade_sales">#REF!</definedName>
    <definedName name="oop_working_capital">#REF!</definedName>
    <definedName name="ooxee" hidden="1">#REF!</definedName>
    <definedName name="op">#REF!</definedName>
    <definedName name="op_modality">#REF!</definedName>
    <definedName name="opbal">#REF!</definedName>
    <definedName name="OpbuQ4_Magnesio" hidden="1">{"'BGT2001'!$A$1:$AE$112"}</definedName>
    <definedName name="OPDNAME">#REF!</definedName>
    <definedName name="OPERATING" hidden="1">{"'BGT2001'!$A$1:$AE$112"}</definedName>
    <definedName name="Operating_Expense_Factor">#REF!</definedName>
    <definedName name="operating_print">#REF!</definedName>
    <definedName name="Operating_Sys">#REF!</definedName>
    <definedName name="OPERATING_TEMP.">#REF!</definedName>
    <definedName name="Operation">#REF!</definedName>
    <definedName name="operations">#REF!</definedName>
    <definedName name="OPEXP">#REF!</definedName>
    <definedName name="ophom">#REF!</definedName>
    <definedName name="opiu" hidden="1">{"Comp_of_Price_Effect",#N/A,FALSE,"QTRDPVAR"}</definedName>
    <definedName name="opk" hidden="1">{#N/A,#N/A,FALSE,"FFM"}</definedName>
    <definedName name="oplk" hidden="1">{"Page1",#N/A,FALSE,"OpExJanvsBud";"Page2",#N/A,FALSE,"OpExJanvsBud"}</definedName>
    <definedName name="opm">#N/A</definedName>
    <definedName name="opmn" hidden="1">{#N/A,#N/A,FALSE,"FFM"}</definedName>
    <definedName name="OPNAME">#REF!</definedName>
    <definedName name="opnamenew">#REF!</definedName>
    <definedName name="opndixm" hidden="1">{"detail",#N/A,FALSE,"mfg";"summary",#N/A,FALSE,"mfg"}</definedName>
    <definedName name="OPRATING_SUPPLY">#REF!</definedName>
    <definedName name="OPT_PACKAGES">#REF!</definedName>
    <definedName name="OPTexponents">"0 3 6"</definedName>
    <definedName name="Option">#REF!</definedName>
    <definedName name="OPTvec">"1 1 1 3 1 0 0 1 1 0 0 8 8 1 0 30 1 1 0 0 0 0 1 0 0 0 0 0 0 0 0 0 100 300 0 0 0 0 10 ý1 0 0 0"</definedName>
    <definedName name="Order">#REF!</definedName>
    <definedName name="ORDER_NO">#REF!</definedName>
    <definedName name="Orders">#REF!</definedName>
    <definedName name="OrdersJap">#REF!</definedName>
    <definedName name="OrderTable" hidden="1">#REF!</definedName>
    <definedName name="Or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RG_Y1TTL">#REF!</definedName>
    <definedName name="ORG_Y2TTL">#REF!</definedName>
    <definedName name="ORG_Y3TTL">#REF!</definedName>
    <definedName name="ORG_Y4TTL">#REF!</definedName>
    <definedName name="ORG_Y5TTL">#REF!</definedName>
    <definedName name="ORGANIZATIONAL.COSTS">#REF!</definedName>
    <definedName name="ORGCOSTS">#REF!</definedName>
    <definedName name="ORIG._DEPT.">#REF!</definedName>
    <definedName name="Orig_Bank_Statement">#REF!</definedName>
    <definedName name="os" hidden="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os.BalanceNoRaceHorse">#REF!</definedName>
    <definedName name="os.BalanceOwnRaceHorse">#REF!</definedName>
    <definedName name="os.DeductSec57">#REF!</definedName>
    <definedName name="os.Receipts">#REF!</definedName>
    <definedName name="os.TotalOSGross">#REF!</definedName>
    <definedName name="os.TotDeductions">#REF!</definedName>
    <definedName name="os.TotOthSrcNoRaceHorse">#REF!</definedName>
    <definedName name="os.WinLottRacePuzz">#REF!</definedName>
    <definedName name="OSA" hidden="1">{"C COM Detail Qtr of",#N/A,FALSE,"DATA";"D Exp Detail Qtr of",#N/A,FALSE,"DATA"}</definedName>
    <definedName name="OSD">#REF!</definedName>
    <definedName name="osddapsdl" hidden="1">{"SchM1",#N/A,FALSE,"Schedules";"SchM2",#N/A,FALSE,"Schedules"}</definedName>
    <definedName name="OsotspaDuty5">#REF!</definedName>
    <definedName name="OsotspaDuty7">#REF!</definedName>
    <definedName name="OsotspaDuty8">#REF!</definedName>
    <definedName name="OsotspaStock5">#REF!</definedName>
    <definedName name="OsotspaStock7">#REF!</definedName>
    <definedName name="OsotspaStock8">#REF!</definedName>
    <definedName name="OsotspaVAT">#REF!</definedName>
    <definedName name="OsotspaVAT5">#REF!</definedName>
    <definedName name="OsotspaVAT8">#REF!</definedName>
    <definedName name="OSPrFactor">#REF!</definedName>
    <definedName name="OT">#REF!</definedName>
    <definedName name="OTC_Products">#REF!</definedName>
    <definedName name="OTC_Report">#REF!</definedName>
    <definedName name="OTC_Total">#REF!</definedName>
    <definedName name="OTH">#REF!</definedName>
    <definedName name="OTH_INC">#REF!</definedName>
    <definedName name="OTH_UC">#N/A</definedName>
    <definedName name="OTHAMT">#N/A</definedName>
    <definedName name="OTHBOH">#N/A</definedName>
    <definedName name="OthCostActM10Y1">#REF!</definedName>
    <definedName name="OthCostActM10Y2">#REF!</definedName>
    <definedName name="OthCostActM11Y1">#REF!</definedName>
    <definedName name="OthCostActM11Y2">#REF!</definedName>
    <definedName name="OthCostActM12Y1">#REF!</definedName>
    <definedName name="OthCostActM12Y2">#REF!</definedName>
    <definedName name="OthCostActM1Y1">#REF!</definedName>
    <definedName name="OthCostActM1Y2">#REF!</definedName>
    <definedName name="OthCostActM2Y1">#REF!</definedName>
    <definedName name="OthCostActM2Y2">#REF!</definedName>
    <definedName name="OthCostActM3Y1">#REF!</definedName>
    <definedName name="OthCostActM3Y2">#REF!</definedName>
    <definedName name="OthCostActM4Y1">#REF!</definedName>
    <definedName name="OthCostActM4Y2">#REF!</definedName>
    <definedName name="OthCostActM5Y1">#REF!</definedName>
    <definedName name="OthCostActM5Y2">#REF!</definedName>
    <definedName name="OthCostActM6Y1">#REF!</definedName>
    <definedName name="OthCostActM6Y2">#REF!</definedName>
    <definedName name="OthCostActM7Y1">#REF!</definedName>
    <definedName name="OthCostActM7Y2">#REF!</definedName>
    <definedName name="OthCostActM8Y1">#REF!</definedName>
    <definedName name="OthCostActM8Y2">#REF!</definedName>
    <definedName name="OthCostActM9Y1">#REF!</definedName>
    <definedName name="OthCostActM9Y2">#REF!</definedName>
    <definedName name="OthCostFcstM10Y1">#REF!</definedName>
    <definedName name="OthCostFcstM10Y2">#REF!</definedName>
    <definedName name="OthCostFcstM11Y1">#REF!</definedName>
    <definedName name="OthCostFcstM11Y2">#REF!</definedName>
    <definedName name="OthCostFcstM12Y1">#REF!</definedName>
    <definedName name="OthCostFcstM12Y2">#REF!</definedName>
    <definedName name="OthCostFcstM1Y1">#REF!</definedName>
    <definedName name="OthCostFcstM1Y2">#REF!</definedName>
    <definedName name="OthCostFcstM2Y1">#REF!</definedName>
    <definedName name="OthCostFcstM2Y2">#REF!</definedName>
    <definedName name="OthCostFcstM3Y1">#REF!</definedName>
    <definedName name="OthCostFcstM3Y2">#REF!</definedName>
    <definedName name="OthCostFcstM4Y1">#REF!</definedName>
    <definedName name="OthCostFcstM4Y2">#REF!</definedName>
    <definedName name="OthCostFcstM5Y1">#REF!</definedName>
    <definedName name="OthCostFcstM5Y2">#REF!</definedName>
    <definedName name="OthCostFcstM6Y1">#REF!</definedName>
    <definedName name="OthCostFcstM6Y2">#REF!</definedName>
    <definedName name="OthCostFcstM7Y1">#REF!</definedName>
    <definedName name="OthCostFcstM7Y2">#REF!</definedName>
    <definedName name="OthCostFcstM8Y1">#REF!</definedName>
    <definedName name="OthCostFcstM8Y2">#REF!</definedName>
    <definedName name="OthCostFcstM9Y1">#REF!</definedName>
    <definedName name="OthCostFcstM9Y2">#REF!</definedName>
    <definedName name="OTHEOH">#N/A</definedName>
    <definedName name="other">#REF!</definedName>
    <definedName name="Other.Inc">#REF!</definedName>
    <definedName name="Other_Adjustment">#REF!</definedName>
    <definedName name="Other_Adjustment_GOM">#REF!</definedName>
    <definedName name="Other_Adjustment_Group">#REF!</definedName>
    <definedName name="Other_Adjustment_Indy">#REF!</definedName>
    <definedName name="Other_B">#REF!</definedName>
    <definedName name="Other_CMP">#REF!</definedName>
    <definedName name="Other_Expenses___Expense_Head_wise">#REF!</definedName>
    <definedName name="Other_F">#REF!</definedName>
    <definedName name="Other_G">#REF!</definedName>
    <definedName name="Other_N">#REF!</definedName>
    <definedName name="Other_OP" hidden="1">{"'BGT2001'!$A$1:$AE$112"}</definedName>
    <definedName name="Other_Recovery_1">#REF!</definedName>
    <definedName name="Other_Recovery_2">#REF!</definedName>
    <definedName name="Other_Recovery_3">#REF!</definedName>
    <definedName name="other_sources">#REF!</definedName>
    <definedName name="Other_T">#REF!</definedName>
    <definedName name="other33" hidden="1">{#N/A,#N/A,FALSE,"Pharm";#N/A,#N/A,FALSE,"WWCM"}</definedName>
    <definedName name="OtherCurrentAssets">#REF!</definedName>
    <definedName name="otherdata">#REF!</definedName>
    <definedName name="Otherexpenses">#REF!</definedName>
    <definedName name="OTHERIN">#REF!</definedName>
    <definedName name="OTHERINC">#REF!</definedName>
    <definedName name="othermar" hidden="1">{#N/A,#N/A,FALSE,"Pharm";#N/A,#N/A,FALSE,"WWCM"}</definedName>
    <definedName name="OtherNonCashItemsMonth1Actuals">#REF!</definedName>
    <definedName name="OtherNonCashItemsMonth1Budget\">#REF!</definedName>
    <definedName name="OtherNonCashItemsMonth2Actuals">#REF!</definedName>
    <definedName name="OtherNonCashItemsMonth2Budget">#REF!</definedName>
    <definedName name="OtherNonCashItemsMonth3Actuaaaaaaaaaaaaaals">#REF!</definedName>
    <definedName name="OtherNonCashItemsMonth3Budget">#REF!</definedName>
    <definedName name="OtherNonCashItemsMonth4Actuals">#REF!</definedName>
    <definedName name="OtherNonCashItemsMonth4Budget">#REF!</definedName>
    <definedName name="OtherNonCashItemsYTDActuals">#REF!</definedName>
    <definedName name="OtherNonCashItemsYTDBudget">#REF!</definedName>
    <definedName name="OtherProjectsBudgetedCompletionDate">#REF!</definedName>
    <definedName name="OtherProjectsCommitted">#REF!</definedName>
    <definedName name="OtherProjectsExpectedCompletionDate">#REF!</definedName>
    <definedName name="OtherProjectsExpectedTotalExpenditure">#REF!</definedName>
    <definedName name="OtherProjectsExpenditureToDate">#REF!</definedName>
    <definedName name="OtherProjectsPercentageSanctioned">#REF!</definedName>
    <definedName name="OtherProjectsPercentComp.">#REF!</definedName>
    <definedName name="OtherProjectsReviewRequired">#REF!</definedName>
    <definedName name="OtherProjectsSanctioned">#REF!</definedName>
    <definedName name="OTHERREC">#REF!</definedName>
    <definedName name="Others">#REF!</definedName>
    <definedName name="Others_new">#REF!</definedName>
    <definedName name="OtherVar">#REF!</definedName>
    <definedName name="OTHLIAB">#REF!</definedName>
    <definedName name="OTHOP" hidden="1">{"'BGT2001'!$A$1:$AE$112"}</definedName>
    <definedName name="othSecinclnlhrs.IncOfCurYrAfterSetOff3">#REF!</definedName>
    <definedName name="othSecinclnlhrs.IncOfCurYrUnderThatHead3">#REF!</definedName>
    <definedName name="othsrcincl.BFlossPrevYrUndSameHeadSetoff5">#REF!</definedName>
    <definedName name="otpr">#REF!</definedName>
    <definedName name="otros">#REF!</definedName>
    <definedName name="ou">#REF!</definedName>
    <definedName name="Out">#REF!</definedName>
    <definedName name="OUT_TOTAL">#N/A</definedName>
    <definedName name="OUTAMT">#N/A</definedName>
    <definedName name="output_to_go">#REF!</definedName>
    <definedName name="OutputCell">#REF!</definedName>
    <definedName name="Outputs">#REF!</definedName>
    <definedName name="OUTQTY">#N/A</definedName>
    <definedName name="OV">#REF!</definedName>
    <definedName name="Overall">#REF!</definedName>
    <definedName name="overall1">#REF!</definedName>
    <definedName name="Overdue_Summary">#REF!</definedName>
    <definedName name="Overdues">#REF!</definedName>
    <definedName name="OVERHEADS">#REF!</definedName>
    <definedName name="OVERHERADS">#REF!</definedName>
    <definedName name="Overnite_Express_Ltd.">#REF!</definedName>
    <definedName name="Overrun" hidden="1">{"page 1",#N/A,FALSE,"A";"page 2",#N/A,FALSE,"A";"page 3",#N/A,FALSE,"A";"page 4",#N/A,FALSE,"A";"page 5",#N/A,FALSE,"A"}</definedName>
    <definedName name="OVERSEAS">#REF!</definedName>
    <definedName name="Overseas_Travel">#REF!</definedName>
    <definedName name="OVERTIME">#REF!</definedName>
    <definedName name="Overveiw">#REF!</definedName>
    <definedName name="OVERVIEW">#REF!</definedName>
    <definedName name="OvhdActY1">#REF!</definedName>
    <definedName name="OvhdActY2">#REF!</definedName>
    <definedName name="OvhdBaseline">#REF!</definedName>
    <definedName name="OvhdFcstY1">#REF!</definedName>
    <definedName name="OvhdFcstY2">#REF!</definedName>
    <definedName name="owmkib" hidden="1">{"detail",#N/A,FALSE,"mfg";"summary",#N/A,FALSE,"mfg"}</definedName>
    <definedName name="owner" hidden="1">OFFSET(#REF!,1,0)</definedName>
    <definedName name="Ownership" hidden="1">OFFSET(#REF!,1,0)</definedName>
    <definedName name="oxy">#REF!</definedName>
    <definedName name="O행">#REF!</definedName>
    <definedName name="p">#REF!</definedName>
    <definedName name="p.2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P.R.S" hidden="1">{#N/A,#N/A,FALSE,"QC REVIEW"}</definedName>
    <definedName name="P?">#REF!</definedName>
    <definedName name="P?HG" hidden="1">{#N/A,#N/A,FALSE,"Tabl. D1";#N/A,#N/A,FALSE,"Tabl. D1 b";#N/A,#N/A,FALSE,"Tabl. D2";#N/A,#N/A,FALSE,"Tabl. D2 b";#N/A,#N/A,FALSE,"Tabl. D3";#N/A,#N/A,FALSE,"Tabl. D4";#N/A,#N/A,FALSE,"Tabl. D5"}</definedName>
    <definedName name="P___L___Statement">#REF!</definedName>
    <definedName name="P___M">#REF!</definedName>
    <definedName name="P_1">#REF!</definedName>
    <definedName name="P_1999">#REF!</definedName>
    <definedName name="P_2">#REF!</definedName>
    <definedName name="P_2000">#REF!</definedName>
    <definedName name="P_2001">#REF!</definedName>
    <definedName name="P_3">#REF!</definedName>
    <definedName name="P_4">#REF!</definedName>
    <definedName name="P_A1">#REF!</definedName>
    <definedName name="P_A2">#REF!</definedName>
    <definedName name="P_A4">#REF!</definedName>
    <definedName name="P_C">#REF!</definedName>
    <definedName name="P_ID_NO.">#REF!</definedName>
    <definedName name="P_L">#REF!</definedName>
    <definedName name="P_L_96">#REF!</definedName>
    <definedName name="P_L_Group_Sub">#REF!</definedName>
    <definedName name="P_loans" hidden="1">{"'kpi2-1'!$E$4"}</definedName>
    <definedName name="P_M">#REF!</definedName>
    <definedName name="P_M_AC">#REF!</definedName>
    <definedName name="P_N">#REF!</definedName>
    <definedName name="P_P">#REF!</definedName>
    <definedName name="P_S">#REF!</definedName>
    <definedName name="P_T">#REF!</definedName>
    <definedName name="P_Z">#REF!</definedName>
    <definedName name="P0">#REF!</definedName>
    <definedName name="P01_Print">#REF!</definedName>
    <definedName name="P02_PTD_Print">#REF!</definedName>
    <definedName name="P02_YTD_Print">#REF!</definedName>
    <definedName name="P03_PTD_Print">#REF!</definedName>
    <definedName name="P03_YTD_Print">#REF!</definedName>
    <definedName name="P04_PTD_Print">#REF!</definedName>
    <definedName name="P04_YTD_Print">#REF!</definedName>
    <definedName name="P05_PTD_Print">#REF!</definedName>
    <definedName name="P05_YTD_Print">#REF!</definedName>
    <definedName name="P06_PTD_Print">#REF!</definedName>
    <definedName name="P06_YTD_Print">#REF!</definedName>
    <definedName name="P07_PTD_Print">#REF!</definedName>
    <definedName name="P07_YTD_Print">#REF!</definedName>
    <definedName name="P08_PTD_Print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1_">#REF!</definedName>
    <definedName name="P1_level">#REF!</definedName>
    <definedName name="P11_PTD_Print">#REF!</definedName>
    <definedName name="P11_yTD_Print">#REF!</definedName>
    <definedName name="P2_">#REF!</definedName>
    <definedName name="P2_level">#REF!</definedName>
    <definedName name="p2stat">#REF!</definedName>
    <definedName name="P3_">#REF!</definedName>
    <definedName name="P3_level">#REF!</definedName>
    <definedName name="P32_">#REF!</definedName>
    <definedName name="P4_">#REF!</definedName>
    <definedName name="P6_">#REF!</definedName>
    <definedName name="P632_">#REF!</definedName>
    <definedName name="P66ALL">#REF!</definedName>
    <definedName name="P6ALL">#REF!</definedName>
    <definedName name="p6alll">#REF!</definedName>
    <definedName name="P6E">#REF!</definedName>
    <definedName name="P6EGU">#REF!</definedName>
    <definedName name="P6ESL">#REF!</definedName>
    <definedName name="P6EWB">#REF!</definedName>
    <definedName name="P6EX">#REF!</definedName>
    <definedName name="P6HO">#REF!</definedName>
    <definedName name="P6N">#REF!</definedName>
    <definedName name="P6N_1">#REF!</definedName>
    <definedName name="P6N_2">#REF!</definedName>
    <definedName name="P6N_3">#REF!</definedName>
    <definedName name="P6NBH">#REF!</definedName>
    <definedName name="P6NCH">#REF!</definedName>
    <definedName name="P6NDL">#REF!</definedName>
    <definedName name="P6NHP">#REF!</definedName>
    <definedName name="P6NHR">#REF!</definedName>
    <definedName name="P6NJK">#REF!</definedName>
    <definedName name="P6NMP">#REF!</definedName>
    <definedName name="P6NNP">#REF!</definedName>
    <definedName name="P6NPB">#REF!</definedName>
    <definedName name="P6NRJ">#REF!</definedName>
    <definedName name="P6NUK">#REF!</definedName>
    <definedName name="P6NUP">#REF!</definedName>
    <definedName name="P6ORR">#REF!</definedName>
    <definedName name="P6P">#REF!</definedName>
    <definedName name="P6range">#REF!</definedName>
    <definedName name="P6S">#REF!</definedName>
    <definedName name="P6SHY">#REF!</definedName>
    <definedName name="P6SKN">#REF!</definedName>
    <definedName name="P6SKR">#REF!</definedName>
    <definedName name="P6STN">#REF!</definedName>
    <definedName name="P6W">#REF!</definedName>
    <definedName name="P6WGJ">#REF!</definedName>
    <definedName name="P6WGO">#REF!</definedName>
    <definedName name="P6WMH">#REF!</definedName>
    <definedName name="P6WNG">#REF!</definedName>
    <definedName name="P6WPN">#REF!</definedName>
    <definedName name="P7b">#REF!</definedName>
    <definedName name="P7M_COMP">#REF!</definedName>
    <definedName name="PA">#REF!</definedName>
    <definedName name="PA_DET">#REF!</definedName>
    <definedName name="PA_PAF">#REF!+#REF!</definedName>
    <definedName name="PA_PAF_1">#REF!+#REF!</definedName>
    <definedName name="PA_SCH3">#REF!</definedName>
    <definedName name="PA_SCH4_5">#REF!</definedName>
    <definedName name="PA_TXd">#REF!</definedName>
    <definedName name="PA112SOC">#REF!</definedName>
    <definedName name="PA1M1">#REF!</definedName>
    <definedName name="PA1M1SOC">#REF!</definedName>
    <definedName name="PA1SOC">#REF!</definedName>
    <definedName name="pac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KING">#REF!</definedName>
    <definedName name="PACKINGMATERIAL">#REF!</definedName>
    <definedName name="PACS1">#REF!</definedName>
    <definedName name="PACS2">#REF!</definedName>
    <definedName name="PACS3">#REF!</definedName>
    <definedName name="PACS4">#REF!</definedName>
    <definedName name="PACS5">#REF!</definedName>
    <definedName name="PACTU">#REF!</definedName>
    <definedName name="PACTUSOC">#REF!</definedName>
    <definedName name="PAG">#REF!</definedName>
    <definedName name="PAGE">#REF!</definedName>
    <definedName name="Page_001">#REF!</definedName>
    <definedName name="Page_002">#REF!</definedName>
    <definedName name="Page_003">#REF!</definedName>
    <definedName name="Page_004">#REF!</definedName>
    <definedName name="Page_005">#REF!</definedName>
    <definedName name="Page_006">#REF!</definedName>
    <definedName name="Page_007">#REF!</definedName>
    <definedName name="Page_008">#REF!</definedName>
    <definedName name="Page_009">#REF!</definedName>
    <definedName name="Page_010">#REF!</definedName>
    <definedName name="Page_011">#REF!</definedName>
    <definedName name="Page_012">#REF!</definedName>
    <definedName name="Page_013">#REF!</definedName>
    <definedName name="Page_014">#REF!</definedName>
    <definedName name="PAGE_1">#REF!</definedName>
    <definedName name="PAGE_10">#REF!</definedName>
    <definedName name="page_11">#REF!</definedName>
    <definedName name="page_12">#REF!</definedName>
    <definedName name="page_13">#REF!</definedName>
    <definedName name="page_14">#REF!</definedName>
    <definedName name="PAGE_2">#REF!</definedName>
    <definedName name="PAGE_3">#REF!</definedName>
    <definedName name="PAGE_4">#REF!</definedName>
    <definedName name="PAGE_5">#REF!</definedName>
    <definedName name="PAGE_6">#REF!</definedName>
    <definedName name="PAGE_7">#REF!</definedName>
    <definedName name="PAGE_8">#REF!</definedName>
    <definedName name="PAGE_9">#REF!</definedName>
    <definedName name="page1">#REF!</definedName>
    <definedName name="PAGE14">#REF!</definedName>
    <definedName name="page2">#REF!</definedName>
    <definedName name="PAGE22">#REF!</definedName>
    <definedName name="page3">#REF!</definedName>
    <definedName name="page4">#REF!</definedName>
    <definedName name="page5">#REF!</definedName>
    <definedName name="page6">#REF!</definedName>
    <definedName name="page6a">#REF!</definedName>
    <definedName name="page7">#REF!</definedName>
    <definedName name="page8">#REF!</definedName>
    <definedName name="page8a" hidden="1">{#N/A,#N/A,FALSE,"Profit Status";#N/A,#N/A,FALSE,"Invest";#N/A,#N/A,FALSE,"Revenue";#N/A,#N/A,FALSE,"Variable Cost";#N/A,#N/A,FALSE,"Options &amp; Series"}</definedName>
    <definedName name="paid">#REF!</definedName>
    <definedName name="paidimi">SUM(#REF!)</definedName>
    <definedName name="PAINT_SYSTEM.">#REF!</definedName>
    <definedName name="pakhak" hidden="1">{#N/A,#N/A,FALSE,"PMTABB";#N/A,#N/A,FALSE,"PMTABB"}</definedName>
    <definedName name="pal_ae_ex">#REF!</definedName>
    <definedName name="pal_ae_mh">#REF!</definedName>
    <definedName name="pal_ae_mi">#REF!</definedName>
    <definedName name="pal_ae_mlf">#REF!</definedName>
    <definedName name="pal_as_ex">#REF!</definedName>
    <definedName name="pal_as_mh">#REF!</definedName>
    <definedName name="pal_as_mi">#REF!</definedName>
    <definedName name="pal_as_mlf">#REF!</definedName>
    <definedName name="pal_brm_ae_ex">#REF!</definedName>
    <definedName name="pal_brm_ae_mh">#REF!</definedName>
    <definedName name="pal_brm_ae_mi">#REF!</definedName>
    <definedName name="pal_brm_ae_mlf">#REF!</definedName>
    <definedName name="pal_brm_as_ex">#REF!</definedName>
    <definedName name="pal_brm_as_mh">#REF!</definedName>
    <definedName name="pal_brm_as_mi">#REF!</definedName>
    <definedName name="pal_brm_as_mlf">#REF!</definedName>
    <definedName name="pal_brm_enc_ex">#REF!</definedName>
    <definedName name="pal_brm_enc_mh">#REF!</definedName>
    <definedName name="pal_brm_enc_mi">#REF!</definedName>
    <definedName name="pal_brm_enc_mlf">#REF!</definedName>
    <definedName name="pal_brm_ex">#REF!</definedName>
    <definedName name="pal_brm_mh">#REF!</definedName>
    <definedName name="pal_brm_mi">#REF!</definedName>
    <definedName name="pal_brm_mlf">#REF!</definedName>
    <definedName name="pal_enc_ex">#REF!</definedName>
    <definedName name="pal_enc_mh">#REF!</definedName>
    <definedName name="pal_enc_mi">#REF!</definedName>
    <definedName name="pal_enc_mlf">#REF!</definedName>
    <definedName name="PALC3">#REF!</definedName>
    <definedName name="PALL">#REF!</definedName>
    <definedName name="pallav" hidden="1">{#N/A,#N/A,FALSE,"PMTABB";#N/A,#N/A,FALSE,"PMTABB"}</definedName>
    <definedName name="PALMY" hidden="1">{"'BGT2001'!$A$1:$AE$112"}</definedName>
    <definedName name="PAM1SOC">#REF!</definedName>
    <definedName name="PAMPASAR_DISTILLERIES_LIMITED___HOSPET">#REF!</definedName>
    <definedName name="PAN">#REF!</definedName>
    <definedName name="PANAL">#REF!</definedName>
    <definedName name="Panametrics2">#N/A</definedName>
    <definedName name="Pankaj">#REF!</definedName>
    <definedName name="Panyu">{"Client Name or Project Name"}</definedName>
    <definedName name="paolo" hidden="1">{#N/A,#N/A,FALSE,"Profit Status";#N/A,#N/A,FALSE,"Invest";#N/A,#N/A,FALSE,"Revenue";#N/A,#N/A,FALSE,"Variable Cost";#N/A,#N/A,FALSE,"Options &amp; Series"}</definedName>
    <definedName name="PAONTA">#REF!</definedName>
    <definedName name="PAPA">#REF!</definedName>
    <definedName name="paperoga" hidden="1">{"'OBT_6M_30_6'!$S$1:$AE$53"}</definedName>
    <definedName name="Paperone" hidden="1">{"'OBT_6M_30_6'!$S$1:$AE$53"}</definedName>
    <definedName name="PAR" hidden="1">{#N/A,#N/A,FALSE,"COMP"}</definedName>
    <definedName name="PARAMS">#REF!</definedName>
    <definedName name="ParetoBaseCell">#REF!</definedName>
    <definedName name="park">#REF!</definedName>
    <definedName name="parkno">#REF!</definedName>
    <definedName name="parkrate">#REF!</definedName>
    <definedName name="parse" hidden="1">#REF!</definedName>
    <definedName name="PART">#REF!</definedName>
    <definedName name="PART_DESCRIPTIO">#REF!</definedName>
    <definedName name="PART_NO.">#REF!</definedName>
    <definedName name="PART_OF_PACKAGE">#REF!</definedName>
    <definedName name="partc.AggreFBTLiability">#REF!</definedName>
    <definedName name="partc.EducationCess">#REF!</definedName>
    <definedName name="partc.FBTPayable">#REF!</definedName>
    <definedName name="partc.SurchargeOnFBT">#REF!</definedName>
    <definedName name="partc.TotalTaxesPaid">#REF!</definedName>
    <definedName name="partc.TotFBTInterestPayable">#REF!</definedName>
    <definedName name="partc.TotFBTLiability">#REF!</definedName>
    <definedName name="partc.TotValueOfFBT">#REF!</definedName>
    <definedName name="PartDesignation">#REF!</definedName>
    <definedName name="PARTE">#REF!</definedName>
    <definedName name="PARTF">#REF!</definedName>
    <definedName name="parts">#REF!</definedName>
    <definedName name="PartV">#REF!</definedName>
    <definedName name="pasd" hidden="1">#REF!</definedName>
    <definedName name="PASOC">#REF!</definedName>
    <definedName name="Pass">#REF!</definedName>
    <definedName name="Passages" hidden="1">{#N/A,#N/A,FALSE,"Tabl. A1";#N/A,#N/A,FALSE,"Tabl. A1 b";#N/A,#N/A,FALSE,"Tabl. A2";#N/A,#N/A,FALSE,"Tabl. A2-1";#N/A,#N/A,FALSE,"Tabl. A2-2"}</definedName>
    <definedName name="paste_1">#REF!</definedName>
    <definedName name="paste_10">#REF!</definedName>
    <definedName name="paste_11">#REF!</definedName>
    <definedName name="paste_12">#REF!</definedName>
    <definedName name="paste_14">#REF!</definedName>
    <definedName name="paste_15">#REF!</definedName>
    <definedName name="paste_16">#REF!</definedName>
    <definedName name="paste_17">#REF!</definedName>
    <definedName name="paste_18">#REF!</definedName>
    <definedName name="paste_2">#REF!</definedName>
    <definedName name="paste_3">#REF!</definedName>
    <definedName name="paste_4">#REF!</definedName>
    <definedName name="paste_5">#REF!</definedName>
    <definedName name="paste_6">#REF!</definedName>
    <definedName name="patrim" hidden="1">#REF!</definedName>
    <definedName name="pawan">#REF!</definedName>
    <definedName name="PAWS_Basis">1</definedName>
    <definedName name="PAWS_EndDate">38896</definedName>
    <definedName name="PAWS_GraphMode">TRUE</definedName>
    <definedName name="PAWS_LastNDays">10</definedName>
    <definedName name="PAWS_PasteRows">FALSE</definedName>
    <definedName name="PAWS_Periodicity">1</definedName>
    <definedName name="PAWS_PeriodSpec">1</definedName>
    <definedName name="PAWS_StartDate">36528</definedName>
    <definedName name="PAWS_UseDates">TRUE</definedName>
    <definedName name="PAWS_UseLastSelection">FALSE</definedName>
    <definedName name="PAWS_UseUnits">TRUE</definedName>
    <definedName name="PAWS_ZeroMode">TRUE</definedName>
    <definedName name="PAY">#REF!</definedName>
    <definedName name="pay_15th">#REF!</definedName>
    <definedName name="Pay_Date">#REF!</definedName>
    <definedName name="Pay_Num">#REF!</definedName>
    <definedName name="PayAccept">#REF!</definedName>
    <definedName name="PayAcceptComments">#REF!</definedName>
    <definedName name="Payback__years">#REF!</definedName>
    <definedName name="PayComments">#REF!</definedName>
    <definedName name="PayDays">#REF!</definedName>
    <definedName name="paydown">#REF!</definedName>
    <definedName name="payment.Num">#N/A</definedName>
    <definedName name="Payment_36">#REF!</definedName>
    <definedName name="Payment_Date">#N/A</definedName>
    <definedName name="Payment_Number">ROW()-#REF!</definedName>
    <definedName name="Payments">#REF!</definedName>
    <definedName name="Payments_16">#REF!</definedName>
    <definedName name="Payments_17">#REF!</definedName>
    <definedName name="Payments_4">#REF!</definedName>
    <definedName name="payments_PA">#REF!</definedName>
    <definedName name="PAYMENTSNEXTDAY">#REF!</definedName>
    <definedName name="PAYMENTSTODAY">#REF!</definedName>
    <definedName name="PaymentType">#REF!</definedName>
    <definedName name="payroll">#REF!</definedName>
    <definedName name="Payroll_Statement">#REF!</definedName>
    <definedName name="paystaff">#REF!</definedName>
    <definedName name="PayTermApprover">#REF!</definedName>
    <definedName name="PayTermcode">#REF!</definedName>
    <definedName name="PayTermDate">#REF!</definedName>
    <definedName name="PayTermQuoteIdDesc">#REF!</definedName>
    <definedName name="PayTermRecmdComments">#REF!</definedName>
    <definedName name="PayTermResponse">#REF!</definedName>
    <definedName name="PayTermStatus">#REF!</definedName>
    <definedName name="PayTermUserFax">#REF!</definedName>
    <definedName name="PayTermUserName">#REF!</definedName>
    <definedName name="PayTermUserName1">#REF!</definedName>
    <definedName name="PayTermUserPhone1">#REF!</definedName>
    <definedName name="PayTermUserPhone2">#REF!</definedName>
    <definedName name="payworker">#REF!</definedName>
    <definedName name="pb" hidden="1">{"net assets",#N/A,FALSE,"summary";"asset turnover",#N/A,FALSE,"summary";"orona",#N/A,FALSE,"summary"}</definedName>
    <definedName name="PBC">#REF!</definedName>
    <definedName name="PBC_List">#REF!</definedName>
    <definedName name="PBC_Memberwise_Global_Sales">#REF!</definedName>
    <definedName name="pbs">#REF!</definedName>
    <definedName name="pbt">#REF!</definedName>
    <definedName name="PBT_Ratio">#REF!</definedName>
    <definedName name="PBTVARMAR">#REF!</definedName>
    <definedName name="PBU">#REF!</definedName>
    <definedName name="PBUDI">#REF!</definedName>
    <definedName name="PBUDISOC">#REF!</definedName>
    <definedName name="PBUM1">#REF!</definedName>
    <definedName name="PBUM1SOC">#REF!</definedName>
    <definedName name="PBUSOC">#REF!</definedName>
    <definedName name="PCA" hidden="1">"BL7FKFTY6NDALOTZZF8PFRAS6"</definedName>
    <definedName name="PÇà">#REF!</definedName>
    <definedName name="PCBS1">#REF!</definedName>
    <definedName name="PCBS2">#REF!</definedName>
    <definedName name="PCIPLSUM">#N/A</definedName>
    <definedName name="pcost">#REF!</definedName>
    <definedName name="PCPL">#REF!</definedName>
    <definedName name="PCPLM">#REF!</definedName>
    <definedName name="PCPLT">#REF!</definedName>
    <definedName name="PCS" hidden="1">{"C COM Detail Qtr of",#N/A,FALSE,"DATA";"D Exp Detail Qtr of",#N/A,FALSE,"DATA"}</definedName>
    <definedName name="PCS_UNIT_1035">#REF!</definedName>
    <definedName name="PCSol" hidden="1">{"C COM Detail Qtr of",#N/A,FALSE,"DATA";"D Exp Detail Qtr of",#N/A,FALSE,"DATA"}</definedName>
    <definedName name="PCT">#REF!</definedName>
    <definedName name="PctEBITImpactBaseline">#REF!</definedName>
    <definedName name="pcurr1">#REF!</definedName>
    <definedName name="PD">#REF!</definedName>
    <definedName name="PD_ID">#REF!</definedName>
    <definedName name="pdcchennai">#REF!</definedName>
    <definedName name="pdcgwr">#REF!</definedName>
    <definedName name="PE">#REF!</definedName>
    <definedName name="PEFAC2" hidden="1">{#N/A,#N/A,FALSE,"BALLANTINE´S ";#N/A,#N/A,FALSE,"FUNDADOR"}</definedName>
    <definedName name="PEGU">#REF!</definedName>
    <definedName name="PEI" hidden="1">{#N/A,#N/A,FALSE,"QC REVIEW"}</definedName>
    <definedName name="PENAL">#REF!</definedName>
    <definedName name="Pensions">#REF!</definedName>
    <definedName name="Pentoxifilin">#REF!</definedName>
    <definedName name="pepe" hidden="1">{#N/A,#N/A,FALSE,"Pharm";#N/A,#N/A,FALSE,"WWCM"}</definedName>
    <definedName name="PEPE4" hidden="1">{#N/A,#N/A,FALSE,"Pharm";#N/A,#N/A,FALSE,"WWCM"}</definedName>
    <definedName name="PEPE5" hidden="1">{#N/A,#N/A,FALSE,"Pharm";#N/A,#N/A,FALSE,"WWCM"}</definedName>
    <definedName name="per">#REF!</definedName>
    <definedName name="PER.FEE.CAPITAL.BASE">#REF!</definedName>
    <definedName name="Per10080G.DonationAmt">#REF!</definedName>
    <definedName name="Per10080G.TotDon100Percent">#REF!</definedName>
    <definedName name="Per5080G.DonationAmt">#REF!</definedName>
    <definedName name="Per5080G.TotDon50PercentApprReqd">#REF!</definedName>
    <definedName name="perc_cap">#REF!</definedName>
    <definedName name="PERCENT">#REF!</definedName>
    <definedName name="Percent_Class_A">#REF!</definedName>
    <definedName name="Percent_Class_B">#REF!</definedName>
    <definedName name="Percent_complete__Dollars">#REF!</definedName>
    <definedName name="Percent_complete__Percent">#REF!</definedName>
    <definedName name="Percent_Retail">#REF!</definedName>
    <definedName name="PERFA">#REF!</definedName>
    <definedName name="PERFB">#REF!</definedName>
    <definedName name="PERFC">#REF!</definedName>
    <definedName name="PERFD">#REF!</definedName>
    <definedName name="PERFE">#REF!</definedName>
    <definedName name="perfee">#REF!</definedName>
    <definedName name="perffactor">#REF!</definedName>
    <definedName name="perffee">#REF!</definedName>
    <definedName name="perffee1">#REF!</definedName>
    <definedName name="perform_gross">#REF!</definedName>
    <definedName name="perform_net">#REF!</definedName>
    <definedName name="PERFORMANCE.FEE">#REF!</definedName>
    <definedName name="PERFORMANCE_AT_A_GLANCE">#REF!</definedName>
    <definedName name="PERFORMANCE_C">#REF!</definedName>
    <definedName name="PERFORMANCE_FEE">#REF!</definedName>
    <definedName name="PERFORMANCE_L">#REF!</definedName>
    <definedName name="PERFORMANCE_P">#REF!</definedName>
    <definedName name="Period">#REF!</definedName>
    <definedName name="PERIOD_END">#REF!</definedName>
    <definedName name="Period_From">#REF!</definedName>
    <definedName name="period_names">#REF!</definedName>
    <definedName name="Period_To">#REF!</definedName>
    <definedName name="Period10Budget">#REF!</definedName>
    <definedName name="Periodic_rate">#REF!/#REF!</definedName>
    <definedName name="PeriodNumber">#REF!</definedName>
    <definedName name="PERIODSETNAME1">#REF!</definedName>
    <definedName name="PERIODSETNAME2">#REF!</definedName>
    <definedName name="PERIODSETNAME3">#REF!</definedName>
    <definedName name="Periodtop25">#REF!</definedName>
    <definedName name="PerNO5080G.DonationAmt">#REF!</definedName>
    <definedName name="PerNO5080G.TotDon50PercentNoApprReqd">#REF!</definedName>
    <definedName name="Perpetual">#REF!</definedName>
    <definedName name="pers">#REF!</definedName>
    <definedName name="PERSONASDOS">#REF!</definedName>
    <definedName name="PESL">#REF!</definedName>
    <definedName name="pest">#REF!</definedName>
    <definedName name="pest0">#REF!</definedName>
    <definedName name="pest1">#REF!</definedName>
    <definedName name="pest10">#REF!</definedName>
    <definedName name="pest2">#REF!</definedName>
    <definedName name="pest3">#REF!</definedName>
    <definedName name="pest4">#REF!</definedName>
    <definedName name="pest5">#REF!</definedName>
    <definedName name="pest6">#REF!</definedName>
    <definedName name="pest7">#REF!</definedName>
    <definedName name="pest8">#REF!</definedName>
    <definedName name="pest9">#REF!</definedName>
    <definedName name="pesth">#REF!</definedName>
    <definedName name="PEWB">#REF!</definedName>
    <definedName name="PEX">#REF!</definedName>
    <definedName name="pf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fd" hidden="1">{#N/A,#N/A,FALSE,"QC REVIEW"}</definedName>
    <definedName name="PFILE">#N/A</definedName>
    <definedName name="pfirstmnthqtr">#REF!</definedName>
    <definedName name="PFL">#REF!</definedName>
    <definedName name="PFLPL">#REF!</definedName>
    <definedName name="PFR">#REF!</definedName>
    <definedName name="PFS_rate">#REF!</definedName>
    <definedName name="PG">#REF!</definedName>
    <definedName name="PG2A">#REF!</definedName>
    <definedName name="PG2AA">#REF!</definedName>
    <definedName name="PG2B">#REF!</definedName>
    <definedName name="PG8A">#REF!</definedName>
    <definedName name="PG8B">#REF!</definedName>
    <definedName name="PG8C">#REF!</definedName>
    <definedName name="PG8D">#REF!</definedName>
    <definedName name="PG8E">#REF!</definedName>
    <definedName name="pgia">#REF!</definedName>
    <definedName name="Pharm_Products">#REF!</definedName>
    <definedName name="Pharm_Report">#REF!</definedName>
    <definedName name="pharma" hidden="1">{#N/A,#N/A,FALSE,"Sales Graph";#N/A,#N/A,FALSE,"PSBM";#N/A,#N/A,FALSE,"BUC Graph";#N/A,#N/A,FALSE,"P&amp;L - YTD"}</definedName>
    <definedName name="Phase1">#REF!</definedName>
    <definedName name="PhilDuty5">#REF!</definedName>
    <definedName name="PhilDuty7">#REF!</definedName>
    <definedName name="PhilDuty8">#REF!</definedName>
    <definedName name="PhilStock5">#REF!</definedName>
    <definedName name="PhilStock7">#REF!</definedName>
    <definedName name="PhilStock8">#REF!</definedName>
    <definedName name="PhilVAT5">#REF!</definedName>
    <definedName name="PhilVAT7">#REF!</definedName>
    <definedName name="PhilVAT8">#REF!</definedName>
    <definedName name="PHMKTG">#REF!</definedName>
    <definedName name="PHO">#REF!</definedName>
    <definedName name="Phone">#REF!</definedName>
    <definedName name="PhoneA320">#REF!</definedName>
    <definedName name="PhoneM550">#REF!</definedName>
    <definedName name="phoneMOTE365">#REF!</definedName>
    <definedName name="PhoneN3310">#REF!</definedName>
    <definedName name="PhoneN3410">#REF!</definedName>
    <definedName name="PhoneN3510">#REF!</definedName>
    <definedName name="PhoneN8310">#REF!</definedName>
    <definedName name="PhoneS200">#REF!</definedName>
    <definedName name="PhoneS300">#REF!</definedName>
    <definedName name="phu_luc_vua">#REF!</definedName>
    <definedName name="PI">{#N/A,#N/A,FALSE,"PMTABB";#N/A,#N/A,FALSE,"PMTABB"}</definedName>
    <definedName name="PIC">"Picture 1"</definedName>
    <definedName name="PILAR" hidden="1">{"detail",#N/A,FALSE,"mfg";"summary",#N/A,FALSE,"mfg"}</definedName>
    <definedName name="pilk" hidden="1">{"YD LPH2",#N/A,FALSE,"YTD"}</definedName>
    <definedName name="pim">#REF!</definedName>
    <definedName name="pippo11" hidden="1">{#N/A,#N/A,FALSE,"CKD Price Build Up"}</definedName>
    <definedName name="pippo12" hidden="1">{#N/A,#N/A,FALSE,"Contr. Margin"}</definedName>
    <definedName name="pippo3" hidden="1">{#N/A,#N/A,FALSE,"Japan";#N/A,#N/A,FALSE,"Taiwan";#N/A,#N/A,FALSE,"Thailand";#N/A,#N/A,FALSE,"Australia"}</definedName>
    <definedName name="pippoooo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PIS_EMP_MST">#REF!</definedName>
    <definedName name="PIVOT_AREA">#REF!</definedName>
    <definedName name="PIVOT_AREA_TSW">#REF!</definedName>
    <definedName name="Pivot_Data">#REF!</definedName>
    <definedName name="PivotAll_ChangeOver">#REF!</definedName>
    <definedName name="PivotAll_Current">#REF!</definedName>
    <definedName name="PivotAll_Prior">#REF!</definedName>
    <definedName name="PivotBF_ChangeOver">#REF!</definedName>
    <definedName name="PivotBF_Current">#REF!</definedName>
    <definedName name="PivotBF_Prior">#REF!</definedName>
    <definedName name="PivotCS_ChangeOver">#REF!</definedName>
    <definedName name="PivotCS_Current">#REF!</definedName>
    <definedName name="PivotCS_Prior">#REF!</definedName>
    <definedName name="Pivotdata">"'Site Master'!$A$2:$BA$697"</definedName>
    <definedName name="PivotLS_ChangeOver">#REF!</definedName>
    <definedName name="PivotLS_Current">#REF!</definedName>
    <definedName name="PivotLS_Prior">#REF!</definedName>
    <definedName name="PJ_RPK">#REF!</definedName>
    <definedName name="pjj_pa">#REF!</definedName>
    <definedName name="PK">#REF!</definedName>
    <definedName name="PKG_LD">#N/A</definedName>
    <definedName name="PKKKK">{"Client Name or Project Name"}</definedName>
    <definedName name="pkppl">#REF!</definedName>
    <definedName name="pl">#REF!</definedName>
    <definedName name="PL.BalBFPrevYr">#REF!</definedName>
    <definedName name="PL.BusinessReceipts">#REF!</definedName>
    <definedName name="PL.ClosingStock">#REF!</definedName>
    <definedName name="PL.DepreciationAmort">#REF!</definedName>
    <definedName name="PL.Expenses">#REF!</definedName>
    <definedName name="PL.GrossProfit">#REF!</definedName>
    <definedName name="PL.InterestExpdr">#REF!</definedName>
    <definedName name="PL.PBIDTA">#REF!</definedName>
    <definedName name="PL.PBT">#REF!</definedName>
    <definedName name="PL.ProfitAfterTax">#REF!</definedName>
    <definedName name="PL.TotCreditsToPL">#REF!</definedName>
    <definedName name="PL.TotOthIncome">#REF!</definedName>
    <definedName name="PL_ACC">#REF!</definedName>
    <definedName name="pl_account">#REF!</definedName>
    <definedName name="PL_Cdn">#REF!</definedName>
    <definedName name="PL_CII">#REF!</definedName>
    <definedName name="PL_CIT">#REF!</definedName>
    <definedName name="PL_Conso_cdn">#REF!</definedName>
    <definedName name="PL_Conso_locale">#REF!</definedName>
    <definedName name="PL_Corpo">#REF!</definedName>
    <definedName name="PL_DETL_BORDER">#REF!</definedName>
    <definedName name="PL_Grouping">#REF!</definedName>
    <definedName name="PL_inp_B">#REF!</definedName>
    <definedName name="PL_inp_F">#REF!</definedName>
    <definedName name="PL_inp_G">#REF!</definedName>
    <definedName name="PL_inp_N">#REF!</definedName>
    <definedName name="PL_inp_T">#REF!</definedName>
    <definedName name="PL_locale">#REF!</definedName>
    <definedName name="PL_outp_B">#REF!</definedName>
    <definedName name="PL_outp_F">#REF!</definedName>
    <definedName name="PL_outp_G">#REF!</definedName>
    <definedName name="PL_outp_N">#REF!</definedName>
    <definedName name="PL_outp_T">#REF!</definedName>
    <definedName name="PL_SI">#REF!</definedName>
    <definedName name="PL1A">#REF!</definedName>
    <definedName name="PL1B">#REF!</definedName>
    <definedName name="PL1C">#REF!</definedName>
    <definedName name="PL1D30G">#REF!</definedName>
    <definedName name="PL1D514">#REF!</definedName>
    <definedName name="PL1D536">#REF!</definedName>
    <definedName name="PL1E">#REF!</definedName>
    <definedName name="PL1F03">#REF!</definedName>
    <definedName name="PL1F13">#REF!</definedName>
    <definedName name="PL1F14">#REF!</definedName>
    <definedName name="PL1F15">#REF!</definedName>
    <definedName name="PL1F20">#REF!</definedName>
    <definedName name="PL1F31">#REF!</definedName>
    <definedName name="PL1F41">#REF!</definedName>
    <definedName name="PL1F51">#REF!</definedName>
    <definedName name="PL1F53">#REF!</definedName>
    <definedName name="PL1YA21">#REF!</definedName>
    <definedName name="PL1YA22">#REF!</definedName>
    <definedName name="PL1YA24">#REF!</definedName>
    <definedName name="PL1YA31">#REF!</definedName>
    <definedName name="PL1YA32">#REF!</definedName>
    <definedName name="PL1YA33">#REF!</definedName>
    <definedName name="PL1YA34">#REF!</definedName>
    <definedName name="PL1YA4">#REF!</definedName>
    <definedName name="PL1YP1">#REF!</definedName>
    <definedName name="PL1YP2">#REF!</definedName>
    <definedName name="PL1YP31">#REF!</definedName>
    <definedName name="PL1YP32">#REF!</definedName>
    <definedName name="PL1YP33">#REF!</definedName>
    <definedName name="PL1YP34">#REF!</definedName>
    <definedName name="PL1YP4">#REF!</definedName>
    <definedName name="PL2A">#REF!</definedName>
    <definedName name="PL2B">#REF!</definedName>
    <definedName name="PL2C">#REF!</definedName>
    <definedName name="PL2D30G">#REF!</definedName>
    <definedName name="PL2D514">#REF!</definedName>
    <definedName name="PL2D536">#REF!</definedName>
    <definedName name="PL2E">#REF!</definedName>
    <definedName name="PL2F03">#REF!</definedName>
    <definedName name="PL2F13">#REF!</definedName>
    <definedName name="PL2F14">#REF!</definedName>
    <definedName name="PL2F15">#REF!</definedName>
    <definedName name="PL2F20">#REF!</definedName>
    <definedName name="PL2F31">#REF!</definedName>
    <definedName name="PL2F41">#REF!</definedName>
    <definedName name="PL2F51">#REF!</definedName>
    <definedName name="PL2F53">#REF!</definedName>
    <definedName name="PL2YA21">#REF!</definedName>
    <definedName name="PL2YA22">#REF!</definedName>
    <definedName name="PL2YA24">#REF!</definedName>
    <definedName name="PL2YA31">#REF!</definedName>
    <definedName name="PL2YA32">#REF!</definedName>
    <definedName name="PL2YA33">#REF!</definedName>
    <definedName name="PL2YA34">#REF!</definedName>
    <definedName name="PL2YA4">#REF!</definedName>
    <definedName name="PL2YP1">#REF!</definedName>
    <definedName name="PL2YP2">#REF!</definedName>
    <definedName name="PL2YP31">#REF!</definedName>
    <definedName name="PL2YP32">#REF!</definedName>
    <definedName name="PL2YP33">#REF!</definedName>
    <definedName name="PL2YP34">#REF!</definedName>
    <definedName name="PL2YP4">#REF!</definedName>
    <definedName name="PL3A">#REF!</definedName>
    <definedName name="PL3B">#REF!</definedName>
    <definedName name="PL3C">#REF!</definedName>
    <definedName name="PL3D30G">#REF!</definedName>
    <definedName name="PL3D514">#REF!</definedName>
    <definedName name="PL3D536">#REF!</definedName>
    <definedName name="PL3E">#REF!</definedName>
    <definedName name="PL3F03">#REF!</definedName>
    <definedName name="PL3F13">#REF!</definedName>
    <definedName name="PL3F14">#REF!</definedName>
    <definedName name="PL3F15">#REF!</definedName>
    <definedName name="PL3F20">#REF!</definedName>
    <definedName name="PL3F31">#REF!</definedName>
    <definedName name="PL3F41">#REF!</definedName>
    <definedName name="PL3F51">#REF!</definedName>
    <definedName name="PL3F53">#REF!</definedName>
    <definedName name="PL3YA21">#REF!</definedName>
    <definedName name="PL3YA22">#REF!</definedName>
    <definedName name="PL3YA24">#REF!</definedName>
    <definedName name="PL3YA31">#REF!</definedName>
    <definedName name="PL3YA32">#REF!</definedName>
    <definedName name="PL3YA33">#REF!</definedName>
    <definedName name="PL3YA34">#REF!</definedName>
    <definedName name="PL3YA4">#REF!</definedName>
    <definedName name="PL3YP1">#REF!</definedName>
    <definedName name="PL3YP2">#REF!</definedName>
    <definedName name="PL3YP31">#REF!</definedName>
    <definedName name="PL3YP32">#REF!</definedName>
    <definedName name="PL3YP33">#REF!</definedName>
    <definedName name="PL3YP34">#REF!</definedName>
    <definedName name="PL3YP4">#REF!</definedName>
    <definedName name="Pla">#REF!</definedName>
    <definedName name="Pla_Ext">#REF!</definedName>
    <definedName name="Pla_Int">#REF!</definedName>
    <definedName name="plac">#REF!</definedName>
    <definedName name="placcount">#REF!</definedName>
    <definedName name="PLACE">#REF!</definedName>
    <definedName name="Place_date_Auditors">#REF!</definedName>
    <definedName name="Place_date_Directors">#REF!</definedName>
    <definedName name="PLAN">#N/A</definedName>
    <definedName name="plan_4">#REF!</definedName>
    <definedName name="Plan_No">#REF!</definedName>
    <definedName name="PLAN99FILE">#REF!</definedName>
    <definedName name="PlanFixKostenstelle">#REF!</definedName>
    <definedName name="planibc">#REF!</definedName>
    <definedName name="planicrm">#REF!</definedName>
    <definedName name="planilha" hidden="1">{#N/A,#N/A,FALSE,"Assumptions";#N/A,#N/A,FALSE,"Volumes";#N/A,#N/A,FALSE,"Pricing";#N/A,#N/A,FALSE,"Variable Cost";#N/A,#N/A,FALSE,"Investment";#N/A,#N/A,FALSE,"Profitability";#N/A,#N/A,FALSE,"Business Comparison"}</definedName>
    <definedName name="planitot">#REF!</definedName>
    <definedName name="plant">#REF!</definedName>
    <definedName name="PlantFixed">#REF!</definedName>
    <definedName name="plantmach">#REF!</definedName>
    <definedName name="PlanTotalKostenstelle">#REF!</definedName>
    <definedName name="PlanVariabelKostenstelle">#REF!</definedName>
    <definedName name="PLBS">#REF!</definedName>
    <definedName name="PLCepi" hidden="1">{#N/A,#N/A,FALSE,"REPORT"}</definedName>
    <definedName name="PLCrEx.TotExciseCustomsVAT">#REF!</definedName>
    <definedName name="plformat">#REF!</definedName>
    <definedName name="PLG">#REF!</definedName>
    <definedName name="PLGR">#REF!</definedName>
    <definedName name="plgroup">#REF!</definedName>
    <definedName name="PLGrouping">#REF!</definedName>
    <definedName name="PLMEETGOALS1">#REF!</definedName>
    <definedName name="PLMEETGOALS2">#REF!</definedName>
    <definedName name="PLMENU">#N/A</definedName>
    <definedName name="PLMO">#REF!</definedName>
    <definedName name="plo" hidden="1">{"A Performance Report",#N/A,FALSE,"%Performance"}</definedName>
    <definedName name="PLOB">#REF!</definedName>
    <definedName name="plom">#REF!</definedName>
    <definedName name="ploss">#REF!</definedName>
    <definedName name="PLProcef" hidden="1">{#N/A,#N/A,FALSE,"REPORT"}</definedName>
    <definedName name="PLS">#REF!</definedName>
    <definedName name="PLSCH" hidden="1">{"'Sch B'!$B$15:$L$17"}</definedName>
    <definedName name="PLTaxol" hidden="1">{#N/A,#N/A,FALSE,"REPORT"}</definedName>
    <definedName name="PLTB">#REF!</definedName>
    <definedName name="PLUTO" hidden="1">{"'OBT_6M_30_6'!$S$1:$AE$53"}</definedName>
    <definedName name="PLW">#REF!</definedName>
    <definedName name="pm">#REF!</definedName>
    <definedName name="PM0tb0tb198tb36tb37rtOR136C13rt">#REF!</definedName>
    <definedName name="PM0tb0tb198tb36tb37rtOR136C14rt">#REF!</definedName>
    <definedName name="PM0tb0tb198tb36tb38rtOR136C13rt">#REF!</definedName>
    <definedName name="pmc" hidden="1">{#N/A,#N/A,FALSE,"PMTABB";#N/A,#N/A,FALSE,"PMTABB"}</definedName>
    <definedName name="pmc_2" hidden="1">{#N/A,#N/A,FALSE,"PMTABB";#N/A,#N/A,FALSE,"PMTABB"}</definedName>
    <definedName name="pmc_3" hidden="1">{#N/A,#N/A,FALSE,"PMTABB";#N/A,#N/A,FALSE,"PMTABB"}</definedName>
    <definedName name="pmc_4" hidden="1">{#N/A,#N/A,FALSE,"PMTABB";#N/A,#N/A,FALSE,"PMTABB"}</definedName>
    <definedName name="pmcf" hidden="1">{#N/A,#N/A,FALSE,"PMTABB";#N/A,#N/A,FALSE,"PMTABB"}</definedName>
    <definedName name="pmcf_2" hidden="1">{#N/A,#N/A,FALSE,"PMTABB";#N/A,#N/A,FALSE,"PMTABB"}</definedName>
    <definedName name="pmcf_3" hidden="1">{#N/A,#N/A,FALSE,"PMTABB";#N/A,#N/A,FALSE,"PMTABB"}</definedName>
    <definedName name="pmcf_4" hidden="1">{#N/A,#N/A,FALSE,"PMTABB";#N/A,#N/A,FALSE,"PMTABB"}</definedName>
    <definedName name="PMD">#REF!</definedName>
    <definedName name="PMF_24">#REF!</definedName>
    <definedName name="PMF_36">#REF!</definedName>
    <definedName name="PMI">#REF!</definedName>
    <definedName name="pmonth">#REF!</definedName>
    <definedName name="PN">#REF!</definedName>
    <definedName name="PN_1">#REF!</definedName>
    <definedName name="PN_2">#REF!</definedName>
    <definedName name="PN_3">#REF!</definedName>
    <definedName name="PN_PA">#REF!</definedName>
    <definedName name="PN_VT">#REF!</definedName>
    <definedName name="PNBH">#REF!</definedName>
    <definedName name="PNCH">#REF!</definedName>
    <definedName name="PNDL">#REF!</definedName>
    <definedName name="PNHP">#REF!</definedName>
    <definedName name="PNHR">#REF!</definedName>
    <definedName name="PNJK">#REF!</definedName>
    <definedName name="Pnl" hidden="1">{#N/A,#N/A,FALSE,"Pharm";#N/A,#N/A,FALSE,"WWCM"}</definedName>
    <definedName name="PNMP">#REF!</definedName>
    <definedName name="PNNP">#REF!</definedName>
    <definedName name="PNPB">#REF!</definedName>
    <definedName name="PNRJ">#REF!</definedName>
    <definedName name="pnsji5" hidden="1">{#N/A,"PURCHM",FALSE,"Business Analysis";#N/A,"SPADD",FALSE,"Business Analysis"}</definedName>
    <definedName name="PNUK">#REF!</definedName>
    <definedName name="PNUP">#REF!</definedName>
    <definedName name="po">#REF!</definedName>
    <definedName name="PO_to_GO_excl_CC_and_ABB_payments">#REF!</definedName>
    <definedName name="poadams">#REF!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chemineer">#REF!</definedName>
    <definedName name="pocopes">#REF!</definedName>
    <definedName name="pocpl">#REF!</definedName>
    <definedName name="podba">#REF!</definedName>
    <definedName name="podelavan">#REF!</definedName>
    <definedName name="podkm51">#REF!</definedName>
    <definedName name="podkm52">#REF!</definedName>
    <definedName name="poemba">#REF!</definedName>
    <definedName name="poenviro">#REF!</definedName>
    <definedName name="poflowserve">#REF!</definedName>
    <definedName name="pofmc">#REF!</definedName>
    <definedName name="pogeveke149">#REF!</definedName>
    <definedName name="pogeveke80">#REF!</definedName>
    <definedName name="pogeveke81">#REF!</definedName>
    <definedName name="poghhb">#REF!</definedName>
    <definedName name="pogutor110">#REF!</definedName>
    <definedName name="pogutor96">#REF!</definedName>
    <definedName name="pohamw">#REF!</definedName>
    <definedName name="poheurtey">#REF!</definedName>
    <definedName name="pohmd">#REF!</definedName>
    <definedName name="pohydro">#REF!</definedName>
    <definedName name="poi" hidden="1">{#N/A,#N/A,TRUE,"SCR-LA 2000";#N/A,#N/A,TRUE,"SCR-LA 2001";#N/A,#N/A,TRUE,"SCR-LA 2002";#N/A,#N/A,TRUE,"SCR-LA 2003"}</definedName>
    <definedName name="poimi">#REF!</definedName>
    <definedName name="poinprogress">#REF!</definedName>
    <definedName name="poissued">#REF!</definedName>
    <definedName name="poiu" hidden="1">{"Performance Details",#N/A,FALSE,"Current Yr";"Performance Details",#N/A,FALSE,"Budget";"Performance Details",#N/A,FALSE,"Prior Year"}</definedName>
    <definedName name="POK?ZEFIFVXVW" hidden="1">{#N/A,#N/A,FALSE,"Tabl. H1";#N/A,#N/A,FALSE,"Tabl. H2"}</definedName>
    <definedName name="pokerp">#REF!</definedName>
    <definedName name="pokiekens">#REF!</definedName>
    <definedName name="pokj" hidden="1">{"QTD_LOUISIANA",#N/A,FALSE,"QTD"}</definedName>
    <definedName name="poklinger">#REF!</definedName>
    <definedName name="pokoch">#REF!</definedName>
    <definedName name="pokuervers">#REF!</definedName>
    <definedName name="Pole">#REF!</definedName>
    <definedName name="POLICIY" hidden="1">{"'August 2000'!$A$1:$J$101"}</definedName>
    <definedName name="poliebert">#REF!</definedName>
    <definedName name="poliebherr">#REF!</definedName>
    <definedName name="POlkprprrkrkrkpdpdukukukukrtMtb">#REF!</definedName>
    <definedName name="pomann">#REF!</definedName>
    <definedName name="pomrm">#REF!</definedName>
    <definedName name="ponat">#REF!</definedName>
    <definedName name="ponp">#REF!</definedName>
    <definedName name="poo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ods">#REF!</definedName>
    <definedName name="pooxybel">#REF!</definedName>
    <definedName name="pooxybel951">#REF!</definedName>
    <definedName name="pooxybel952">#REF!</definedName>
    <definedName name="pop">#N/A</definedName>
    <definedName name="popcodes">#REF!</definedName>
    <definedName name="popirelli">#REF!</definedName>
    <definedName name="POR137C13RTSC60L40RTM0TB0TB0TB0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ORCO" hidden="1">{"'OBT_6M_30_6'!$S$1:$AE$53"}</definedName>
    <definedName name="PORR">#REF!</definedName>
    <definedName name="port29" hidden="1">{#N/A,#N/A,FALSE,"Pharm";#N/A,#N/A,FALSE,"WWCM"}</definedName>
    <definedName name="Portugal">#REF!</definedName>
    <definedName name="POS">"テキスト 22"</definedName>
    <definedName name="posafex">#REF!</definedName>
    <definedName name="poschulz">#REF!</definedName>
    <definedName name="posirco">#REF!</definedName>
    <definedName name="Possible2004_Patrick_12Nov2003" hidden="1">{"'W.W. Summary'!$A$1:$K$37"}</definedName>
    <definedName name="POST">#REF!</definedName>
    <definedName name="Postage">#REF!</definedName>
    <definedName name="POSTCURING">#REF!</definedName>
    <definedName name="POSTERRORSTOSUSP1">#REF!</definedName>
    <definedName name="POSTERRORSTOSUSP2">#REF!</definedName>
    <definedName name="POSTERRORSTOSUSP3">#REF!</definedName>
    <definedName name="postLstart">#REF!</definedName>
    <definedName name="postSstart">#REF!</definedName>
    <definedName name="posuppl">#REF!</definedName>
    <definedName name="potaprogge">#REF!</definedName>
    <definedName name="potential_exposure">#REF!</definedName>
    <definedName name="pothermoheat165">#REF!</definedName>
    <definedName name="pothermoheat175">#REF!</definedName>
    <definedName name="pound">#REF!</definedName>
    <definedName name="power">#REF!</definedName>
    <definedName name="Power.22">#REF!</definedName>
    <definedName name="POWER_M1">#REF!</definedName>
    <definedName name="POWER_M2">#REF!</definedName>
    <definedName name="power02">#REF!</definedName>
    <definedName name="PowerFuel">#REF!</definedName>
    <definedName name="powq" hidden="1">{#N/A,"PURCHM",FALSE,"Business Analysis";#N/A,"SPADD",FALSE,"Business Analysis"}</definedName>
    <definedName name="poyokogawa">#REF!</definedName>
    <definedName name="poyork">#REF!</definedName>
    <definedName name="pp">#REF!</definedName>
    <definedName name="PPAccum">0</definedName>
    <definedName name="PPBOH">#N/A</definedName>
    <definedName name="PPC">#REF!</definedName>
    <definedName name="PPCSOC">#REF!</definedName>
    <definedName name="PPEOH">#N/A</definedName>
    <definedName name="PPEuro">0</definedName>
    <definedName name="PPIncome">#REF!</definedName>
    <definedName name="ppl" hidden="1">{#N/A,#N/A,FALSE,"gc (2)"}</definedName>
    <definedName name="ppmonth">#REF!</definedName>
    <definedName name="ppo" hidden="1">{"YD LOUISIANA",#N/A,FALSE,"YTD"}</definedName>
    <definedName name="ppp">#REF!</definedName>
    <definedName name="PPPP" hidden="1">{#N/A,#N/A,FALSE,"ISBL"}</definedName>
    <definedName name="PPPP_1" hidden="1">{#N/A,#N/A,FALSE,"ISBL"}</definedName>
    <definedName name="PPPP_2" hidden="1">{#N/A,#N/A,FALSE,"ISBL"}</definedName>
    <definedName name="PPPP_3" hidden="1">{#N/A,#N/A,FALSE,"ISBL"}</definedName>
    <definedName name="PPPP_4" hidden="1">{#N/A,#N/A,FALSE,"ISBL"}</definedName>
    <definedName name="PPPPPPPP">#REF!</definedName>
    <definedName name="ppppppppp" hidden="1">{"'OBT_6M_30_6'!$S$1:$AE$53"}</definedName>
    <definedName name="PPR" hidden="1">{#N/A,#N/A,FALSE,"QC REVIEW"}</definedName>
    <definedName name="PPReaderData">0</definedName>
    <definedName name="PPUpdate">0</definedName>
    <definedName name="PPvalidity">#REF!</definedName>
    <definedName name="PPWorkState">0</definedName>
    <definedName name="pqmjuz" hidden="1">{"detail",#N/A,FALSE,"mfg";"summary",#N/A,FALSE,"mfg"}</definedName>
    <definedName name="pqr" hidden="1">{#N/A,#N/A,FALSE,"Tabl. A1";#N/A,#N/A,FALSE,"Tabl. A1 b";#N/A,#N/A,FALSE,"Tabl. A2";#N/A,#N/A,FALSE,"Tabl. A2-1";#N/A,#N/A,FALSE,"Tabl. A2-2"}</definedName>
    <definedName name="pr" hidden="1">{#N/A,#N/A,FALSE,"QC REVIEW"}</definedName>
    <definedName name="PR.3" hidden="1">{#N/A,#N/A,FALSE,"QC REVIEW"}</definedName>
    <definedName name="PR00BG01" hidden="1">{#N/A,#N/A,FALSE,"Tabl. D1";#N/A,#N/A,FALSE,"Tabl. D1 b";#N/A,#N/A,FALSE,"Tabl. D2";#N/A,#N/A,FALSE,"Tabl. D2 b";#N/A,#N/A,FALSE,"Tabl. D3";#N/A,#N/A,FALSE,"Tabl. D4";#N/A,#N/A,FALSE,"Tabl. D5"}</definedName>
    <definedName name="praba">#REF!</definedName>
    <definedName name="prabhu">#REF!</definedName>
    <definedName name="prakash" hidden="1">{#N/A,#N/A,FALSE,"COMICRO";#N/A,#N/A,FALSE,"BALSCH";#N/A,#N/A,FALSE,"GLASS";#N/A,#N/A,FALSE,"DEPRE";#N/A,#N/A,FALSE,"A&amp;MCUR";#N/A,#N/A,FALSE,"AGEANAlysis";#N/A,#N/A,FALSE,"CHECKS";#N/A,#N/A,FALSE,"CHECKS"}</definedName>
    <definedName name="PRAKASH1" hidden="1">{#N/A,#N/A,FALSE,"COMICRO";#N/A,#N/A,FALSE,"BALSCH";#N/A,#N/A,FALSE,"GLASS";#N/A,#N/A,FALSE,"DEPRE";#N/A,#N/A,FALSE,"A&amp;MCUR";#N/A,#N/A,FALSE,"AGEANAlysis";#N/A,#N/A,FALSE,"CHECKS";#N/A,#N/A,FALSE,"CHECKS"}</definedName>
    <definedName name="Pratik">#REF!</definedName>
    <definedName name="prativa">#REF!</definedName>
    <definedName name="pravin">#REF!</definedName>
    <definedName name="Pravin1">#REF!</definedName>
    <definedName name="Pravin2">#REF!</definedName>
    <definedName name="Pravin3">#REF!</definedName>
    <definedName name="Pravin4">#REF!</definedName>
    <definedName name="Pravin5">#REF!</definedName>
    <definedName name="Pravin6">#REF!</definedName>
    <definedName name="Pravin7">#REF!</definedName>
    <definedName name="PRC">#REF!</definedName>
    <definedName name="PRCA">#REF!</definedName>
    <definedName name="Pre_tax_materiality">#REF!</definedName>
    <definedName name="Precap">#REF!</definedName>
    <definedName name="precs">#REF!</definedName>
    <definedName name="PREFIX">#REF!</definedName>
    <definedName name="prel.">#REF!</definedName>
    <definedName name="Preliminary_Work">#REF!</definedName>
    <definedName name="Prelm_Exp">#REF!</definedName>
    <definedName name="PREMI15">#REF!</definedName>
    <definedName name="premises">#REF!</definedName>
    <definedName name="preop">#REF!</definedName>
    <definedName name="Prepaid">#REF!</definedName>
    <definedName name="PREPAID_OTHER">#REF!</definedName>
    <definedName name="prepay" hidden="1">{#N/A,#N/A,FALSE,"PMTABB";#N/A,#N/A,FALSE,"PMTABB"}</definedName>
    <definedName name="PRESENT_VALUE_DISCOUNT_ACCOUNT">"ㅣ"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NormalA4">#REF!</definedName>
    <definedName name="PRESPIN">#REF!</definedName>
    <definedName name="PreviousMonth">#REF!</definedName>
    <definedName name="price">#REF!</definedName>
    <definedName name="Price_structure">#REF!</definedName>
    <definedName name="PRICE1">#REF!</definedName>
    <definedName name="price97">#REF!</definedName>
    <definedName name="Pricemix">#REF!</definedName>
    <definedName name="PRIMER">#REF!</definedName>
    <definedName name="prin_bal">#REF!</definedName>
    <definedName name="prin_os">#REF!</definedName>
    <definedName name="Prin1">#REF!</definedName>
    <definedName name="Prin2">#REF!</definedName>
    <definedName name="Prin3">#REF!</definedName>
    <definedName name="Prin4">#REF!</definedName>
    <definedName name="Princ">#REF!</definedName>
    <definedName name="prinpaid">#REF!</definedName>
    <definedName name="Print">#REF!</definedName>
    <definedName name="print_">#REF!</definedName>
    <definedName name="PRINT_1">#N/A</definedName>
    <definedName name="PRINT_2">#N/A</definedName>
    <definedName name="PRINT_AR02">#REF!</definedName>
    <definedName name="_xlnm.Print_Area" localSheetId="0">'Note 6'!$A$1:$Q$110</definedName>
    <definedName name="_xlnm.Print_Area">#REF!</definedName>
    <definedName name="PRINT_AREA_MI">#REF!</definedName>
    <definedName name="Print_Area_MI_16">#REF!</definedName>
    <definedName name="Print_Area_MI_17">#REF!</definedName>
    <definedName name="Print_Area_MI_4">#REF!</definedName>
    <definedName name="Print_Area_MI_8">#REF!</definedName>
    <definedName name="Print_area_MI1">#REF!</definedName>
    <definedName name="Print_area_new">#REF!</definedName>
    <definedName name="Print_Area_Reset">#N/A</definedName>
    <definedName name="Print_Area_VIII">#REF!</definedName>
    <definedName name="Print_Area1">#REF!</definedName>
    <definedName name="Print_Area2">#REF!</definedName>
    <definedName name="Print_Hotels">#REF!</definedName>
    <definedName name="Print_JuneQtr">#REF!</definedName>
    <definedName name="print_prev">#N/A</definedName>
    <definedName name="Print_Range">#REF!</definedName>
    <definedName name="Print_Range___0___0">#REF!</definedName>
    <definedName name="Print_Range___0___0___0___0___0___0___0">#REF!</definedName>
    <definedName name="Print_Range___0___0___0___0___0___0___0___0">#REF!</definedName>
    <definedName name="Print_Range___8">#REF!</definedName>
    <definedName name="Print_Sale_Final">#REF!</definedName>
    <definedName name="Print_Sale_Working">#REF!</definedName>
    <definedName name="PRINT_TITL02">#REF!</definedName>
    <definedName name="Print_Title">#REF!</definedName>
    <definedName name="print_title_me">#REF!</definedName>
    <definedName name="_xlnm.Print_Titles">#REF!</definedName>
    <definedName name="PRINT_TITLES_02">#REF!</definedName>
    <definedName name="PRINT_TITLES_03">#REF!</definedName>
    <definedName name="PRINT_TITLES_MI">#REF!</definedName>
    <definedName name="Print_YTD">#REF!</definedName>
    <definedName name="PRINT1">#REF!</definedName>
    <definedName name="print2">#REF!</definedName>
    <definedName name="print3">#REF!</definedName>
    <definedName name="PRINTA">#REF!</definedName>
    <definedName name="printarea">#REF!</definedName>
    <definedName name="PRINTB">#REF!</definedName>
    <definedName name="printboth">#N/A</definedName>
    <definedName name="PRINTC">#REF!</definedName>
    <definedName name="PRINTE_TITLES">#REF!</definedName>
    <definedName name="printer">#REF!</definedName>
    <definedName name="printing">#REF!</definedName>
    <definedName name="PRINTING_MATTER">#REF!</definedName>
    <definedName name="PrintManagerQuery">#REF!</definedName>
    <definedName name="PrintSelectedSheetsMacroButton">#REF!</definedName>
    <definedName name="prior_forecast">#REF!</definedName>
    <definedName name="prior_IO_plan">#REF!</definedName>
    <definedName name="prior_sales_am">#REF!</definedName>
    <definedName name="prior_sales_asia">#REF!</definedName>
    <definedName name="Prior_sales_Eur">#REF!</definedName>
    <definedName name="prior_sales_global">#REF!</definedName>
    <definedName name="prior_ship">#REF!</definedName>
    <definedName name="prior_year">#REF!</definedName>
    <definedName name="PriorDep">#REF!</definedName>
    <definedName name="PRIORMO">#REF!</definedName>
    <definedName name="PRIORYTD">#REF!</definedName>
    <definedName name="pritneifs" hidden="1">{#N/A,#N/A,FALSE,"Financial";#N/A,#N/A,FALSE,"Balance Sheet";#N/A,#N/A,FALSE,"Income stmt";#N/A,#N/A,FALSE,"Ratio"}</definedName>
    <definedName name="prix_f">#REF!</definedName>
    <definedName name="prix_o">#REF!</definedName>
    <definedName name="prix_op">#REF!</definedName>
    <definedName name="prnt_templ_prt2">#REF!</definedName>
    <definedName name="PrnUSD">#REF!</definedName>
    <definedName name="PrnYEN">#REF!</definedName>
    <definedName name="PRO">#REF!</definedName>
    <definedName name="Pro_Decoder_per_Disbn_sys">#REF!</definedName>
    <definedName name="Pro_IRD_per_Disbn_sys">#REF!</definedName>
    <definedName name="Pro_rate">#REF!</definedName>
    <definedName name="problem1">#REF!</definedName>
    <definedName name="Procef" hidden="1">{#N/A,#N/A,FALSE,"Pharm";#N/A,#N/A,FALSE,"WWCM"}</definedName>
    <definedName name="process" hidden="1">{#N/A,#N/A,FALSE,"PMTABB";#N/A,#N/A,FALSE,"PMTABB"}</definedName>
    <definedName name="Process_wise_total_expenses__category_wise_summary">#REF!</definedName>
    <definedName name="Process_wise_total_expenses__summary">#REF!</definedName>
    <definedName name="processingMsg">#REF!</definedName>
    <definedName name="PROD">#N/A</definedName>
    <definedName name="Prod_Ext">#REF!</definedName>
    <definedName name="PROD_SALE_1">#REF!</definedName>
    <definedName name="PROD_SALES3">#REF!</definedName>
    <definedName name="ProdAcct">#REF!</definedName>
    <definedName name="ProdForm" hidden="1">#REF!</definedName>
    <definedName name="ProdForm1" hidden="1">#REF!</definedName>
    <definedName name="ProdMarket2">#REF!</definedName>
    <definedName name="PRODN_BANK">#REF!</definedName>
    <definedName name="PRODOTTODO">#REF!</definedName>
    <definedName name="PRODOTTOGD">#REF!</definedName>
    <definedName name="PRODOTTOSPECIALE">#REF!</definedName>
    <definedName name="PRODOTTOTRADIZIONALE">#REF!</definedName>
    <definedName name="PRODREV">#N/A</definedName>
    <definedName name="PRODUCCION">#REF!</definedName>
    <definedName name="Product" hidden="1">#REF!</definedName>
    <definedName name="Product_US">#REF!</definedName>
    <definedName name="Production">#REF!</definedName>
    <definedName name="production_ext">#REF!</definedName>
    <definedName name="Production_hours">#REF!</definedName>
    <definedName name="products">#REF!</definedName>
    <definedName name="productwise">#REF!</definedName>
    <definedName name="productwise3">#REF!</definedName>
    <definedName name="productwiseõ">#REF!</definedName>
    <definedName name="productwiseø">#REF!</definedName>
    <definedName name="Prof" hidden="1">#REF!</definedName>
    <definedName name="Prof.Charges">#REF!</definedName>
    <definedName name="Prof_Chgs">#REF!</definedName>
    <definedName name="professional">#REF!</definedName>
    <definedName name="Professional_IRD_per_Disbn_sys_at_Receive_site">#REF!</definedName>
    <definedName name="ProfessionalCharges">#REF!</definedName>
    <definedName name="ProfileOfTaggedInstruments___ByConstrMgr_Complex_Category">#REF!</definedName>
    <definedName name="profit">#REF!</definedName>
    <definedName name="Profit.Reco">#REF!</definedName>
    <definedName name="Profit\Loss">#REF!</definedName>
    <definedName name="Profit___loss_account">#REF!</definedName>
    <definedName name="Profit_and_Loss_account">#REF!</definedName>
    <definedName name="PROFIT_BEFORE_TAX">#REF!</definedName>
    <definedName name="PROFIT_c">#REF!</definedName>
    <definedName name="PROFIT_L">#REF!</definedName>
    <definedName name="profit_Loss_Grouping1">#REF!</definedName>
    <definedName name="profit_Loss_Grouping2">#REF!</definedName>
    <definedName name="PROFIT_PLAN">#REF!</definedName>
    <definedName name="PROFIT_PLAN_C">#REF!</definedName>
    <definedName name="PROFIT_PLAN_L">#REF!</definedName>
    <definedName name="PROFIT_PLAN_P">#REF!</definedName>
    <definedName name="ProfitLoss">#REF!</definedName>
    <definedName name="PROFITLOSSGROUPING">#REF!</definedName>
    <definedName name="Profservs1">#REF!</definedName>
    <definedName name="Profsvs2">#REF!</definedName>
    <definedName name="PROG_ON_PR_COUNTMEAS">#REF!</definedName>
    <definedName name="PROGRESS_REPORT">#REF!</definedName>
    <definedName name="ProImportExport.ImportFile">#REF!</definedName>
    <definedName name="ProImportExport.SaveNewFile">#REF!</definedName>
    <definedName name="Proj_Name">#REF!</definedName>
    <definedName name="ProjCompletionDate">#REF!</definedName>
    <definedName name="ProjCompletionMonth">#REF!</definedName>
    <definedName name="ProjCompletionYear">#REF!</definedName>
    <definedName name="PROJECT_CASHFLOW">#REF!</definedName>
    <definedName name="project_cost">#REF!</definedName>
    <definedName name="Project_cost_sheet">#REF!</definedName>
    <definedName name="project_name">#REF!</definedName>
    <definedName name="ProjectCost">#REF!</definedName>
    <definedName name="ProjectName">{"Client Name or Project Name"}</definedName>
    <definedName name="ProjectName1">{"Client Name or Project Name"}</definedName>
    <definedName name="ProjectName10">{"Client Name or Project Name"}</definedName>
    <definedName name="ProjectName11">{"Client Name or Project Name"}</definedName>
    <definedName name="ProjectName2">{"Client Name or Project Name"}</definedName>
    <definedName name="ProjectName3">{"Client Name or Project Name"}</definedName>
    <definedName name="ProjectName4">{"Client Name or Project Name"}</definedName>
    <definedName name="ProjectName5">{"Client Name or Project Name"}</definedName>
    <definedName name="ProjectName6">{"Client Name or Project Name"}</definedName>
    <definedName name="ProjectName7">{"Client Name or Project Name"}</definedName>
    <definedName name="ProjectName8">{"Client Name or Project Name"}</definedName>
    <definedName name="ProjectNameA">{"Client Name or Project Name"}</definedName>
    <definedName name="ProjectNameB">{"Client Name or Project Name"}</definedName>
    <definedName name="ProjectNameC">{"Client Name or Project Name"}</definedName>
    <definedName name="ProjectNameSource">{"Client Name or Project Name"}</definedName>
    <definedName name="Projectnumberrent">#REF!</definedName>
    <definedName name="ProjectPhase">#REF!</definedName>
    <definedName name="PROJECTS">#REF!</definedName>
    <definedName name="Projekt">#REF!</definedName>
    <definedName name="PROJET">#REF!</definedName>
    <definedName name="PROLOSS">#REF!</definedName>
    <definedName name="promem" hidden="1">{#N/A,#N/A,FALSE,"Assumptions";#N/A,#N/A,FALSE,"Volumes";#N/A,#N/A,FALSE,"Pricing";#N/A,#N/A,FALSE,"Variable Cost";#N/A,#N/A,FALSE,"Investment";#N/A,#N/A,FALSE,"Profitability";#N/A,#N/A,FALSE,"Business Comparison"}</definedName>
    <definedName name="prop">#REF!</definedName>
    <definedName name="PROPOSAL">#REF!</definedName>
    <definedName name="Protect_Sheets">#REF!</definedName>
    <definedName name="PROTO">#REF!</definedName>
    <definedName name="PROTO1">#REF!</definedName>
    <definedName name="prov">#REF!</definedName>
    <definedName name="Prov.Tax">#REF!</definedName>
    <definedName name="prov_dim_val">#REF!</definedName>
    <definedName name="Prov1">#REF!</definedName>
    <definedName name="Prov2">#REF!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ISION">#REF!</definedName>
    <definedName name="PROVISION_FOR_DOUBTFUL_DEBTS">#REF!</definedName>
    <definedName name="Provisions">#REF!</definedName>
    <definedName name="prr" hidden="1">{#N/A,#N/A,FALSE,"QC REVIEW"}</definedName>
    <definedName name="prs" hidden="1">{#N/A,#N/A,FALSE,"QC REVIEW"}</definedName>
    <definedName name="prs3.3" hidden="1">{#N/A,#N/A,FALSE,"QC REVIEW"}</definedName>
    <definedName name="PRT">#REF!</definedName>
    <definedName name="PRUEBA">#REF!</definedName>
    <definedName name="PS" hidden="1">{"A COM Detail YTD",#N/A,FALSE,"DATA";"B Exp Detail YTD",#N/A,FALSE,"DATA"}</definedName>
    <definedName name="PSBLog" hidden="1">{"A COM Detail YTD",#N/A,FALSE,"DATA";"B Exp Detail YTD",#N/A,FALSE,"DATA"}</definedName>
    <definedName name="pscndmnthqtr">#REF!</definedName>
    <definedName name="PSD_EP">#REF!</definedName>
    <definedName name="pshipinterest">#REF!</definedName>
    <definedName name="PSHP">#REF!</definedName>
    <definedName name="psi_connect">#REF!</definedName>
    <definedName name="psicols">#REF!</definedName>
    <definedName name="PSKN">#REF!</definedName>
    <definedName name="PSKR">#REF!</definedName>
    <definedName name="PSMPLQ12C4LRTOR339C224RTMTBTBTB">#REF!</definedName>
    <definedName name="psr" hidden="1">{#N/A,#N/A,FALSE,"QC REVIEW"}</definedName>
    <definedName name="pss" hidden="1">{#N/A,#N/A,FALSE,"COMICRO";#N/A,#N/A,FALSE,"BALSCH";#N/A,#N/A,FALSE,"GLASS";#N/A,#N/A,FALSE,"DEPRE";#N/A,#N/A,FALSE,"A&amp;MCUR";#N/A,#N/A,FALSE,"AGEANAlysis";#N/A,#N/A,FALSE,"CHECKS";#N/A,#N/A,FALSE,"CHECKS"}</definedName>
    <definedName name="pssq" hidden="1">{#N/A,#N/A,FALSE,"COMICRO";#N/A,#N/A,FALSE,"BALSCH";#N/A,#N/A,FALSE,"GLASS";#N/A,#N/A,FALSE,"DEPRE";#N/A,#N/A,FALSE,"A&amp;MCUR";#N/A,#N/A,FALSE,"AGEANAlysis";#N/A,#N/A,FALSE,"CHECKS";#N/A,#N/A,FALSE,"CHECKS"}</definedName>
    <definedName name="PSTN">#REF!</definedName>
    <definedName name="pt">#REF!</definedName>
    <definedName name="PT_data_overflow98">OFFSET(#REF!,0,0,COUNTA(#REF!),7)</definedName>
    <definedName name="PT_Duong">#REF!</definedName>
    <definedName name="PTA_Bulk">#REF!</definedName>
    <definedName name="PTA_ISBL">#REF!</definedName>
    <definedName name="PTAXAMT">#REF!</definedName>
    <definedName name="ptdg">#REF!</definedName>
    <definedName name="PTDG_cau">#REF!</definedName>
    <definedName name="ptdg_cong">#REF!</definedName>
    <definedName name="ptdg_duong">#REF!</definedName>
    <definedName name="pthirdmnthqtr">#REF!</definedName>
    <definedName name="ptk">{#N/A,#N/A,FALSE,"PMTABB";#N/A,#N/A,FALSE,"PMTABB"}</definedName>
    <definedName name="ptk_1">{#N/A,#N/A,FALSE,"PMTABB";#N/A,#N/A,FALSE,"PMTABB"}</definedName>
    <definedName name="ptk_2">{#N/A,#N/A,FALSE,"PMTABB";#N/A,#N/A,FALSE,"PMTABB"}</definedName>
    <definedName name="ptk_3">{#N/A,#N/A,FALSE,"PMTABB";#N/A,#N/A,FALSE,"PMTABB"}</definedName>
    <definedName name="ptk_4">{#N/A,#N/A,FALSE,"PMTABB";#N/A,#N/A,FALSE,"PMTABB"}</definedName>
    <definedName name="Pts">#REF!</definedName>
    <definedName name="pub" hidden="1">#REF!</definedName>
    <definedName name="PUB_FileID" hidden="1">"L10003363.xls"</definedName>
    <definedName name="PUB_UserID" hidden="1">"MAYERX"</definedName>
    <definedName name="PublicRelation">#REF!</definedName>
    <definedName name="pucspadd42" hidden="1">{#N/A,"PURCHM",FALSE,"Business Analysis";#N/A,"SPADD",FALSE,"Business Analysis"}</definedName>
    <definedName name="pupi" hidden="1">{"YD OTHER",#N/A,FALSE,"YTD"}</definedName>
    <definedName name="püpoüpoüpo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 hidden="1">{#N/A,#N/A,FALSE,"Umsatz 99";#N/A,#N/A,FALSE,"ER 99 "}</definedName>
    <definedName name="pur">#REF!</definedName>
    <definedName name="PUR_YARN1">#REF!</definedName>
    <definedName name="PUR_YARN2">#REF!</definedName>
    <definedName name="purch">#REF!</definedName>
    <definedName name="purchase">#REF!</definedName>
    <definedName name="Purchase_details">#REF!</definedName>
    <definedName name="Purchase_Register">#REF!</definedName>
    <definedName name="Purchaser">#REF!</definedName>
    <definedName name="PURCHASES">#REF!</definedName>
    <definedName name="PurchMan">#REF!</definedName>
    <definedName name="PurchParts">#REF!</definedName>
    <definedName name="pure_retail_sales">#REF!</definedName>
    <definedName name="pure_retail_sales_lease">#REF!</definedName>
    <definedName name="pure_retail_sales_retail">#REF!</definedName>
    <definedName name="PushIn">#REF!</definedName>
    <definedName name="PW">#REF!</definedName>
    <definedName name="PWC">#REF!</definedName>
    <definedName name="PWGJ">#REF!</definedName>
    <definedName name="PWGO">#REF!</definedName>
    <definedName name="PWHT">#REF!</definedName>
    <definedName name="PWMH">#REF!</definedName>
    <definedName name="pwng">#REF!</definedName>
    <definedName name="pwoefù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PN">#REF!</definedName>
    <definedName name="PY">#REF!</definedName>
    <definedName name="PY_all_Equity">#REF!</definedName>
    <definedName name="PY_all_Income">#REF!</definedName>
    <definedName name="PY_all_RetEarn">#REF!</definedName>
    <definedName name="PY_Balances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share_equity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month">#REF!</definedName>
    <definedName name="pypmonth">#REF!</definedName>
    <definedName name="pyppmonth">#REF!</definedName>
    <definedName name="pyusdtable">#REF!</definedName>
    <definedName name="pz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PZO" hidden="1">{#N/A,#N/A,FALSE,"Tabl. D1";#N/A,#N/A,FALSE,"Tabl. D1 b";#N/A,#N/A,FALSE,"Tabl. D2";#N/A,#N/A,FALSE,"Tabl. D2 b";#N/A,#N/A,FALSE,"Tabl. D3";#N/A,#N/A,FALSE,"Tabl. D4";#N/A,#N/A,FALSE,"Tabl. D5"}</definedName>
    <definedName name="ｑ">#N/A</definedName>
    <definedName name="Q?">#REF!</definedName>
    <definedName name="Q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GE_Equipment">#REF!</definedName>
    <definedName name="Q_Inst_Warr">#REF!</definedName>
    <definedName name="Q_PL_MTH_CrossSum">#REF!</definedName>
    <definedName name="Q_PL_YTD_CrossSum">#REF!</definedName>
    <definedName name="Q_Tb_Accm_Sele1">#REF!</definedName>
    <definedName name="Q_Tb_Accm2_Xls">#REF!</definedName>
    <definedName name="Q_Tb_GM_Sele1">#REF!</definedName>
    <definedName name="Q_Tb_GM_Xls">#REF!</definedName>
    <definedName name="Q_TY">#REF!</definedName>
    <definedName name="Q_WORK">#REF!</definedName>
    <definedName name="Q1__02_Sales_to_OM_acquisition_summary">#REF!</definedName>
    <definedName name="q1pytdrevenue">#REF!</definedName>
    <definedName name="q1ytdrevenue">#REF!</definedName>
    <definedName name="q2pytdrevenue">#REF!</definedName>
    <definedName name="Q2USD">#REF!</definedName>
    <definedName name="q2ytdrevenue">#REF!</definedName>
    <definedName name="Q3_99">#REF!</definedName>
    <definedName name="q3pytdrevenue">#REF!</definedName>
    <definedName name="Q3USD">#REF!</definedName>
    <definedName name="q3ytdrevenue">#REF!</definedName>
    <definedName name="q4pytdrevenue">#REF!</definedName>
    <definedName name="Q4USD">#REF!</definedName>
    <definedName name="q4ytdrevenue">#REF!</definedName>
    <definedName name="qaaaa" hidden="1">{"detail",#N/A,FALSE,"mfg";"summary",#N/A,FALSE,"mfg"}</definedName>
    <definedName name="QAMT86106">#N/A</definedName>
    <definedName name="QApplication">#REF!</definedName>
    <definedName name="qaqcdetailed">#REF!</definedName>
    <definedName name="qaz" hidden="1">{#N/A,#N/A,FALSE,"Pharm";#N/A,#N/A,FALSE,"WWCM"}</definedName>
    <definedName name="QC_TESTING">#REF!</definedName>
    <definedName name="QCJ">#REF!</definedName>
    <definedName name="QCRD">#REF!</definedName>
    <definedName name="QDate">#REF!</definedName>
    <definedName name="QDub_Price">#REF!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quipmentWoTax">#REF!</definedName>
    <definedName name="qeqweq" hidden="1">{#N/A,#N/A,FALSE,"QC REVIEW"}</definedName>
    <definedName name="qertweyu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fhqjlfhlqjf" hidden="1">{"page 1",#N/A,FALSE,"A";"page 2",#N/A,FALSE,"A";"page 3",#N/A,FALSE,"A";"page 4",#N/A,FALSE,"A";"page 5",#N/A,FALSE,"A"}</definedName>
    <definedName name="QFX_Price">#REF!</definedName>
    <definedName name="qgfqerg" hidden="1">{#N/A,#N/A,FALSE,"PMTABB";#N/A,#N/A,FALSE,"PMTABB"}</definedName>
    <definedName name="qgfqerg_1" hidden="1">{#N/A,#N/A,FALSE,"PMTABB";#N/A,#N/A,FALSE,"PMTABB"}</definedName>
    <definedName name="qgfqerg_2" hidden="1">{#N/A,#N/A,FALSE,"PMTABB";#N/A,#N/A,FALSE,"PMTABB"}</definedName>
    <definedName name="qgfqerg_3" hidden="1">{#N/A,#N/A,FALSE,"PMTABB";#N/A,#N/A,FALSE,"PMTABB"}</definedName>
    <definedName name="qgfqerg_4" hidden="1">{#N/A,#N/A,FALSE,"PMTABB";#N/A,#N/A,FALSE,"PMTABB"}</definedName>
    <definedName name="qh">#REF!</definedName>
    <definedName name="qhdlkdkd" hidden="1">{"page 1",#N/A,FALSE,"A";"page 2",#N/A,FALSE,"A";"page 3",#N/A,FALSE,"A";"page 4",#N/A,FALSE,"A";"page 5",#N/A,FALSE,"A"}</definedName>
    <definedName name="QI">#REF!</definedName>
    <definedName name="QID">#REF!</definedName>
    <definedName name="QII">#REF!</definedName>
    <definedName name="QIII">#REF!</definedName>
    <definedName name="qink" hidden="1">{#N/A,"PURCHM",FALSE,"Business Analysis";#N/A,"SPADD",FALSE,"Business Analysis"}</definedName>
    <definedName name="QIV">#REF!</definedName>
    <definedName name="QJam_Price">#REF!</definedName>
    <definedName name="QMix_Price">#REF!</definedName>
    <definedName name="qp" hidden="1">{"overview",#N/A,FALSE,"summary";"net assets",#N/A,FALSE,"summary";"asset turnover",#N/A,FALSE,"summary";"orona",#N/A,FALSE,"summary"}</definedName>
    <definedName name="QP_S">#REF!</definedName>
    <definedName name="qq">#REF!</definedName>
    <definedName name="QQ_1" hidden="1">{#N/A,#N/A,FALSE,"PMTABB";#N/A,#N/A,FALSE,"PMTABB"}</definedName>
    <definedName name="QQ_2" hidden="1">{#N/A,#N/A,FALSE,"PMTABB";#N/A,#N/A,FALSE,"PMTABB"}</definedName>
    <definedName name="QQ_3" hidden="1">{#N/A,#N/A,FALSE,"PMTABB";#N/A,#N/A,FALSE,"PMTABB"}</definedName>
    <definedName name="QQ_4" hidden="1">{#N/A,#N/A,FALSE,"PMTABB";#N/A,#N/A,FALSE,"PMTABB"}</definedName>
    <definedName name="qqkkkkk" hidden="1">{#N/A,"PURCHM",FALSE,"Business Analysis";#N/A,"SPADD",FALSE,"Business Analysis"}</definedName>
    <definedName name="qqq">#REF!</definedName>
    <definedName name="QQQ_1" hidden="1">{#N/A,#N/A,FALSE,"PMTABB";#N/A,#N/A,FALSE,"PMTABB"}</definedName>
    <definedName name="QQQ_2" hidden="1">{#N/A,#N/A,FALSE,"PMTABB";#N/A,#N/A,FALSE,"PMTABB"}</definedName>
    <definedName name="QQQ_3" hidden="1">{#N/A,#N/A,FALSE,"PMTABB";#N/A,#N/A,FALSE,"PMTABB"}</definedName>
    <definedName name="QQQ_4" hidden="1">{#N/A,#N/A,FALSE,"PMTABB";#N/A,#N/A,FALSE,"PMTABB"}</definedName>
    <definedName name="qqqaa" hidden="1">{"detail",#N/A,FALSE,"mfg";"summary",#N/A,FALSE,"mfg"}</definedName>
    <definedName name="QQQQ" hidden="1">{#N/A,#N/A,FALSE,"EW"}</definedName>
    <definedName name="QQQQ_1" hidden="1">{#N/A,#N/A,FALSE,"EW"}</definedName>
    <definedName name="QQQQ_2" hidden="1">{#N/A,#N/A,FALSE,"EW"}</definedName>
    <definedName name="QQQQ_3" hidden="1">{#N/A,#N/A,FALSE,"EW"}</definedName>
    <definedName name="QQQQ_4" hidden="1">{#N/A,#N/A,FALSE,"EW"}</definedName>
    <definedName name="qqqqq" hidden="1">{#N/A,"PURCHM",FALSE,"Business Analysis";#N/A,"SPADD",FALSE,"Business Analysis"}</definedName>
    <definedName name="qqqqqq" hidden="1">{"QTD_PRS",#N/A,FALSE,"QTD"}</definedName>
    <definedName name="qqqqqqq" hidden="1">{"'BGT2001'!$A$1:$AE$112"}</definedName>
    <definedName name="qqqqqqqq">#REF!</definedName>
    <definedName name="qqqqqqqqqq" hidden="1">{"pro_view",#N/A,FALSE,"EEFSNAP2";"rep_view",#N/A,FALSE,"EEFSNAP2"}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q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qqq" hidden="1">{"detail",#N/A,FALSE,"mfg";"summary",#N/A,FALSE,"mfg"}</definedName>
    <definedName name="qqqqqqqqqqqqqqqqqqqqqqqqqqqqqqqqqqqqqqqqqqqqqqqqqqqqqq" hidden="1">{"TXO2N2_SLS",#N/A,FALSE,"MTHLYSLES";"TXH2_SLS",#N/A,FALSE,"MTHLYSLES";"LOUIS_SLS",#N/A,FALSE,"MTHLYSLES";"H2_SLS",#N/A,FALSE,"MTHLYSLES";"O2N2_SLS",#N/A,FALSE,"MTHLYSLES";"PACKAGE_SLS",#N/A,FALSE,"MTHLYSLES"}</definedName>
    <definedName name="qqwtweryey" hidden="1">{#N/A,#N/A,FALSE,"REPORT"}</definedName>
    <definedName name="qr" hidden="1">{"detail",#N/A,FALSE,"mfg";"summary",#N/A,FALSE,"mfg"}</definedName>
    <definedName name="QRABOH">#N/A</definedName>
    <definedName name="QRAEOH">#N/A</definedName>
    <definedName name="QReserves">#REF!</definedName>
    <definedName name="qryEqptOrdDelyETAProfile_byConstrMgr">#REF!</definedName>
    <definedName name="qryEqptOrdPODelProfile_ByConstrMgr">#REF!</definedName>
    <definedName name="qryForEqptProfTotalDelvdFdnErnIndImp">#REF!</definedName>
    <definedName name="qrySummROSDatesFromQuery">#REF!</definedName>
    <definedName name="qryUnitForecastUtils">#REF!</definedName>
    <definedName name="qryYTD03">#REF!</definedName>
    <definedName name="qryYTD04">#REF!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elBCH2003" hidden="1">#REF!</definedName>
    <definedName name="qselBCH2004" hidden="1">#REF!</definedName>
    <definedName name="qssss" hidden="1">{#N/A,"PURCHM",FALSE,"Business Analysis";#N/A,"SPADD",FALSE,"Business Analysis"}</definedName>
    <definedName name="qt" hidden="1">{"'Sheet1'!$L$16"}</definedName>
    <definedName name="QTaxRate">#REF!</definedName>
    <definedName name="qtdm">#REF!</definedName>
    <definedName name="Qtr_dropdown">#REF!</definedName>
    <definedName name="QTRFINRES_INR">#REF!</definedName>
    <definedName name="QTRFINRES_USD">#REF!</definedName>
    <definedName name="qtt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TY_DETAIL_1">#REF!</definedName>
    <definedName name="QTY_DETAIL_2">#REF!</definedName>
    <definedName name="QUANT">#REF!</definedName>
    <definedName name="QUARTER">#REF!</definedName>
    <definedName name="Quarter_Bis">#REF!</definedName>
    <definedName name="quarter3">#REF!</definedName>
    <definedName name="quarter4">#REF!</definedName>
    <definedName name="QuarterDollars">#REF!,#REF!,#REF!,#REF!</definedName>
    <definedName name="Quarterly" hidden="1">{"Annual",#N/A,FALSE,"Sales &amp; Market";"Quarterly",#N/A,FALSE,"Sales &amp; Market"}</definedName>
    <definedName name="QuerSummeKostenstelle">#REF!</definedName>
    <definedName name="QuerSummeKst">#REF!</definedName>
    <definedName name="Query1">#REF!</definedName>
    <definedName name="Question1">#REF!</definedName>
    <definedName name="Question10">#REF!</definedName>
    <definedName name="Question11">#REF!</definedName>
    <definedName name="Question12">#REF!</definedName>
    <definedName name="Question13">#REF!</definedName>
    <definedName name="Question2">#REF!</definedName>
    <definedName name="Question3">#REF!</definedName>
    <definedName name="Question4">#REF!</definedName>
    <definedName name="Question5">#REF!</definedName>
    <definedName name="Question6">#REF!</definedName>
    <definedName name="Question7">#REF!</definedName>
    <definedName name="Question8">#REF!</definedName>
    <definedName name="Question9">#REF!</definedName>
    <definedName name="quickfield">#REF!</definedName>
    <definedName name="Quinalapril">#REF!</definedName>
    <definedName name="qw" hidden="1">{"C COM Detail Qtr of",#N/A,FALSE,"DATA";"D Exp Detail Qtr of",#N/A,FALSE,"DATA"}</definedName>
    <definedName name="QWarranty">#REF!</definedName>
    <definedName name="QWD">#REF!</definedName>
    <definedName name="qwdqwdqad" hidden="1">{#N/A,#N/A,TRUE,"Staffnos &amp; cost"}</definedName>
    <definedName name="qw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wed" hidden="1">{#N/A,#N/A,FALSE,"Profit Status";#N/A,#N/A,FALSE,"Invest";#N/A,#N/A,FALSE,"Revenue";#N/A,#N/A,FALSE,"Variable Cost";#N/A,#N/A,FALSE,"Options &amp; Series"}</definedName>
    <definedName name="qwedqqdq" hidden="1">{#N/A,#N/A,TRUE,"Staffnos &amp; cost"}</definedName>
    <definedName name="qwef" hidden="1">{#N/A,#N/A,FALSE,"EW"}</definedName>
    <definedName name="qwef_1" hidden="1">{#N/A,#N/A,FALSE,"EW"}</definedName>
    <definedName name="qwef_2" hidden="1">{#N/A,#N/A,FALSE,"EW"}</definedName>
    <definedName name="qwef_3" hidden="1">{#N/A,#N/A,FALSE,"EW"}</definedName>
    <definedName name="qwef_4" hidden="1">{#N/A,#N/A,FALSE,"EW"}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hidden="1">{#N/A,#N/A,FALSE,"SUMMARY";#N/A,#N/A,FALSE,"SUMMARY"}</definedName>
    <definedName name="QWER_1" hidden="1">{#N/A,#N/A,FALSE,"SUMMARY";#N/A,#N/A,FALSE,"SUMMARY"}</definedName>
    <definedName name="QWER_2" hidden="1">{#N/A,#N/A,FALSE,"SUMMARY";#N/A,#N/A,FALSE,"SUMMARY"}</definedName>
    <definedName name="QWER_3" hidden="1">{#N/A,#N/A,FALSE,"SUMMARY";#N/A,#N/A,FALSE,"SUMMARY"}</definedName>
    <definedName name="QWER_4" hidden="1">{#N/A,#N/A,FALSE,"SUMMARY";#N/A,#N/A,FALSE,"SUMMARY"}</definedName>
    <definedName name="qwerrr" hidden="1">{"'BGT2001'!$A$1:$AE$112"}</definedName>
    <definedName name="qwertqry" hidden="1">{#N/A,#N/A,FALSE,"REPORT"}</definedName>
    <definedName name="qwet" hidden="1">{#N/A,#N/A,FALSE,"Sum";#N/A,#N/A,FALSE,"P&amp;L";#N/A,#N/A,FALSE,"SAP";#N/A,#N/A,FALSE,"Strap";#N/A,#N/A,FALSE,"B-S";#N/A,#N/A,FALSE,"C-F";#N/A,#N/A,FALSE,"MAT"}</definedName>
    <definedName name="qwetqryetytu" hidden="1">{#N/A,#N/A,FALSE,"Pharm";#N/A,#N/A,FALSE,"WWCM"}</definedName>
    <definedName name="QWQ" hidden="1">{#N/A,#N/A,TRUE,"BT M200 da 10x20"}</definedName>
    <definedName name="qwrd" hidden="1">{"ACT",#N/A,FALSE,"Q3Elec P&amp;L fy 99  ";"BUD",#N/A,FALSE,"Q3Elec P&amp;L fy 99  ";"PRIOR",#N/A,FALSE,"Q3Elec P&amp;L fy 99  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tqgag" hidden="1">{#N/A,#N/A,FALSE,"Financial";#N/A,#N/A,FALSE,"Balance Sheet";#N/A,#N/A,FALSE,"Income stmt";#N/A,#N/A,FALSE,"Ratio"}</definedName>
    <definedName name="qwz" hidden="1">{"QTD_HYCO",#N/A,FALSE,"QTD"}</definedName>
    <definedName name="QX4CU">#REF!</definedName>
    <definedName name="QX4FU">#REF!</definedName>
    <definedName name="QX4PR">#REF!</definedName>
    <definedName name="QXC" hidden="1">{#N/A,#N/A,FALSE,"Tabl. H1";#N/A,#N/A,FALSE,"Tabl. H2"}</definedName>
    <definedName name="QYTD">#REF!</definedName>
    <definedName name="qz" hidden="1">{#N/A,#N/A,TRUE,"SCR-LA 2000";#N/A,#N/A,TRUE,"SCR-LA 2001";#N/A,#N/A,TRUE,"SCR-LA 2002";#N/A,#N/A,TRUE,"SCR-LA 2003"}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33">#REF!</definedName>
    <definedName name="qzqzqz34">#REF!</definedName>
    <definedName name="qzqzqz35">#REF!</definedName>
    <definedName name="qzqzqz36">#REF!</definedName>
    <definedName name="qzqzqz37">#REF!</definedName>
    <definedName name="qzqzqz38">#REF!</definedName>
    <definedName name="qzqzqz39">#REF!</definedName>
    <definedName name="qzqzqz40">#REF!</definedName>
    <definedName name="qzqzqz41">#REF!</definedName>
    <definedName name="qzqzqz42">#REF!</definedName>
    <definedName name="qzqzqz43">#REF!</definedName>
    <definedName name="qzqzqz44">#REF!</definedName>
    <definedName name="qzqzqz45">#REF!</definedName>
    <definedName name="qzqzqz46">#REF!</definedName>
    <definedName name="qzqzqz47">#REF!</definedName>
    <definedName name="qzqzqz48">#REF!</definedName>
    <definedName name="qzqzqz49">#REF!</definedName>
    <definedName name="qzqzqz50">#REF!</definedName>
    <definedName name="qzqzqz51">#REF!</definedName>
    <definedName name="qzqzqz52">#REF!</definedName>
    <definedName name="qzqzqz53">#REF!</definedName>
    <definedName name="qzqzqz54">#REF!</definedName>
    <definedName name="qzqzqz55">#REF!</definedName>
    <definedName name="qzqzqz56">#REF!</definedName>
    <definedName name="qzqzqz57">#REF!</definedName>
    <definedName name="qzqzqz58">#REF!</definedName>
    <definedName name="qzqzqz59">#REF!</definedName>
    <definedName name="qzqzqz6">#REF!</definedName>
    <definedName name="qzqzqz60">#REF!</definedName>
    <definedName name="qzqzqz61">#REF!</definedName>
    <definedName name="qzqzqz7">#REF!</definedName>
    <definedName name="qzqzqz8">#REF!</definedName>
    <definedName name="qzqzqz9">#REF!</definedName>
    <definedName name="Q행">#REF!</definedName>
    <definedName name="R?">#REF!</definedName>
    <definedName name="R_">#REF!</definedName>
    <definedName name="R_03">#REF!</definedName>
    <definedName name="R_1">#REF!</definedName>
    <definedName name="R_2">#REF!</definedName>
    <definedName name="R_3">#REF!</definedName>
    <definedName name="R_98">#REF!</definedName>
    <definedName name="R_99">#REF!</definedName>
    <definedName name="R_Autres">#REF!</definedName>
    <definedName name="R_CH_FIN_NET">#REF!</definedName>
    <definedName name="R_Change">#REF!</definedName>
    <definedName name="R_Com">#REF!</definedName>
    <definedName name="R_Couv">#REF!</definedName>
    <definedName name="R_D">#REF!</definedName>
    <definedName name="r_dexp">#REF!</definedName>
    <definedName name="R_Factor">#REF!</definedName>
    <definedName name="R_Fin">#REF!</definedName>
    <definedName name="R_Fin_Ext">#REF!</definedName>
    <definedName name="R_Fin_Int">#REF!</definedName>
    <definedName name="R_Frai_Fin">#REF!</definedName>
    <definedName name="R_M">#REF!</definedName>
    <definedName name="R_Pla">#REF!</definedName>
    <definedName name="R_Pla_Ext">#REF!</definedName>
    <definedName name="R_Pla_Int">#REF!</definedName>
    <definedName name="ra">#REF!</definedName>
    <definedName name="RABS">#REF!</definedName>
    <definedName name="rad">#REF!</definedName>
    <definedName name="rad_dscnt">#REF!</definedName>
    <definedName name="radact">#REF!</definedName>
    <definedName name="radhika">#REF!</definedName>
    <definedName name="radstd">#REF!</definedName>
    <definedName name="raef">#REF!</definedName>
    <definedName name="RAF">#REF!</definedName>
    <definedName name="rahu_sd">#REF!</definedName>
    <definedName name="rahul">#REF!</definedName>
    <definedName name="rail_cy.Credits">#N/A</definedName>
    <definedName name="rail_cy.Data">#N/A</definedName>
    <definedName name="rail_cy.DataPT">#N/A</definedName>
    <definedName name="rail_cy.Debits">#N/A</definedName>
    <definedName name="rail_cy.Description">#N/A</definedName>
    <definedName name="rail_cy.Ending_Balance">#N/A</definedName>
    <definedName name="rail_py.Credits">#N/A</definedName>
    <definedName name="rail_py.Data">#N/A</definedName>
    <definedName name="rail_py.DataPT">#N/A</definedName>
    <definedName name="rail_py.Debits">#N/A</definedName>
    <definedName name="rail_py.Description">#N/A</definedName>
    <definedName name="rail_py.Ending_Balance">#N/A</definedName>
    <definedName name="Raio">#REF!</definedName>
    <definedName name="raj">#REF!</definedName>
    <definedName name="rajender">#REF!</definedName>
    <definedName name="RAJENDER_KUMAR_DADWAL">#REF!</definedName>
    <definedName name="Rajiv">#REF!</definedName>
    <definedName name="RAJPAL_RATHI">#REF!</definedName>
    <definedName name="RAJU">#REF!</definedName>
    <definedName name="ram">#REF!</definedName>
    <definedName name="rama" hidden="1">{"'August 2000'!$A$1:$J$101"}</definedName>
    <definedName name="Raman">#REF!</definedName>
    <definedName name="ramesh">#REF!</definedName>
    <definedName name="ramman">#REF!</definedName>
    <definedName name="ramsha">#REF!</definedName>
    <definedName name="ranbaxy">#REF!</definedName>
    <definedName name="RanbaxyDuty5">#REF!</definedName>
    <definedName name="RanbaxyDuty7">#REF!</definedName>
    <definedName name="RanbaxyDuty8">#REF!</definedName>
    <definedName name="RanbaxyStock5">#REF!</definedName>
    <definedName name="RanbaxyStock7">#REF!</definedName>
    <definedName name="RanbaxyStock8">#REF!</definedName>
    <definedName name="RanbaxyVAT5">#REF!</definedName>
    <definedName name="RanbaxyVAT7">#REF!</definedName>
    <definedName name="RanbaxyVAT8">#REF!</definedName>
    <definedName name="range">#REF!</definedName>
    <definedName name="RANGE1">#REF!</definedName>
    <definedName name="range2">#REF!</definedName>
    <definedName name="Range3">#REF!</definedName>
    <definedName name="Range4">#REF!</definedName>
    <definedName name="Range5">#REF!</definedName>
    <definedName name="RangeADauerE">#REF!</definedName>
    <definedName name="RangeBud">#REF!</definedName>
    <definedName name="RANGO">#REF!</definedName>
    <definedName name="RANGO1">#REF!</definedName>
    <definedName name="RATE">#REF!</definedName>
    <definedName name="rateapr">#REF!</definedName>
    <definedName name="rateapr01">#REF!</definedName>
    <definedName name="rateapreuro">#REF!</definedName>
    <definedName name="rateaug">#REF!</definedName>
    <definedName name="rateaugeuro">#REF!</definedName>
    <definedName name="ratedec">#REF!</definedName>
    <definedName name="ratedec01">#REF!</definedName>
    <definedName name="ratedec01euro">#REF!</definedName>
    <definedName name="ratedeceuro">#REF!</definedName>
    <definedName name="ratefeb">#REF!</definedName>
    <definedName name="ratefeb01">#REF!</definedName>
    <definedName name="ratefeb01euro">#REF!</definedName>
    <definedName name="ratefebeuro">#REF!</definedName>
    <definedName name="ratejan">#REF!</definedName>
    <definedName name="ratejan01">#REF!</definedName>
    <definedName name="ratejan01euro">#REF!</definedName>
    <definedName name="ratejaneuro">#REF!</definedName>
    <definedName name="ratejul">#REF!</definedName>
    <definedName name="ratejuleuro">#REF!</definedName>
    <definedName name="ratejun">#REF!</definedName>
    <definedName name="ratejuneuro">#REF!</definedName>
    <definedName name="ratemar">#REF!</definedName>
    <definedName name="ratemar01">#REF!</definedName>
    <definedName name="ratemareuro">#REF!</definedName>
    <definedName name="ratemay">#REF!</definedName>
    <definedName name="ratemay01">#REF!</definedName>
    <definedName name="ratemayeuro">#REF!</definedName>
    <definedName name="ratenov">#REF!</definedName>
    <definedName name="ratenoveuro">#REF!</definedName>
    <definedName name="rateoct">#REF!</definedName>
    <definedName name="rateocteuro">#REF!</definedName>
    <definedName name="rates">#REF!</definedName>
    <definedName name="RatesandTax">#REF!</definedName>
    <definedName name="ratesep">#REF!</definedName>
    <definedName name="ratesepeuro">#REF!</definedName>
    <definedName name="Rating">#REF!</definedName>
    <definedName name="RATIO">#N/A</definedName>
    <definedName name="Ratio_Disbn_sys_4_2_2_to_4_2_0">#REF!</definedName>
    <definedName name="Ratio_Disbn_sys_ASI_SPI_decoder_to_basic">#REF!</definedName>
    <definedName name="Ratio_Disbn_sys_CA_to_FTA">#REF!</definedName>
    <definedName name="Ratio_Disbn_sys_Director_to_RAS1">#REF!</definedName>
    <definedName name="Ratio_Disbn_sys_E5610___E5210">#REF!</definedName>
    <definedName name="Ratio_Disbn_sys_mods_QPSK_to_8PSK">#REF!</definedName>
    <definedName name="Ratio_Disbn_sys_with_reflex">#REF!</definedName>
    <definedName name="ratios">#REF!</definedName>
    <definedName name="RATIOWORK">#N/A</definedName>
    <definedName name="Ravi">#REF!</definedName>
    <definedName name="RAW_MATERIAL_CONSUMED">#REF!</definedName>
    <definedName name="Raw_materials_movement">#REF!</definedName>
    <definedName name="RawData">#REF!</definedName>
    <definedName name="RawHeader">#REF!</definedName>
    <definedName name="Rb">#N/A</definedName>
    <definedName name="RBG" hidden="1">{#N/A,#N/A,FALSE,"Tabl. D1";#N/A,#N/A,FALSE,"Tabl. D1 b";#N/A,#N/A,FALSE,"Tabl. D2";#N/A,#N/A,FALSE,"Tabl. D2 b";#N/A,#N/A,FALSE,"Tabl. D3";#N/A,#N/A,FALSE,"Tabl. D4";#N/A,#N/A,FALSE,"Tabl. D5"}</definedName>
    <definedName name="rbi">#REF!</definedName>
    <definedName name="rbil">#REF!</definedName>
    <definedName name="rbs">#REF!</definedName>
    <definedName name="RÇà">#REF!</definedName>
    <definedName name="RCArea" hidden="1">#REF!</definedName>
    <definedName name="RCK">#REF!</definedName>
    <definedName name="RCONS">#REF!</definedName>
    <definedName name="RCS2Q2">#REF!</definedName>
    <definedName name="RCS2Q2_4">#REF!</definedName>
    <definedName name="RCS3Q2">#REF!</definedName>
    <definedName name="RCS3Q2_4">#REF!</definedName>
    <definedName name="RD">#REF!</definedName>
    <definedName name="RD___0">#REF!</definedName>
    <definedName name="RD_PROFILE">#REF!</definedName>
    <definedName name="rdate">#REF!</definedName>
    <definedName name="RDN" hidden="1">{#N/A,#N/A,FALSE,"COVER.XLS";#N/A,#N/A,FALSE,"RACT1.XLS";#N/A,#N/A,FALSE,"RACT2.XLS";#N/A,#N/A,FALSE,"ECCMP";#N/A,#N/A,FALSE,"WELDER.XLS"}</definedName>
    <definedName name="RDSPL">#REF!</definedName>
    <definedName name="rdterm">#REF!</definedName>
    <definedName name="rdx" hidden="1">{"oct_res_comm",#N/A,FALSE,"VarToBud"}</definedName>
    <definedName name="re">#REF!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CAR">#N/A</definedName>
    <definedName name="READ">#REF!</definedName>
    <definedName name="REALALQUILER">#REF!</definedName>
    <definedName name="REALBONIF">#REF!</definedName>
    <definedName name="Realisations_salevalue">#REF!</definedName>
    <definedName name="RealxClientexSocio">#REF!</definedName>
    <definedName name="rebate">#REF!</definedName>
    <definedName name="Rec">#REF!</definedName>
    <definedName name="recap">#REF!</definedName>
    <definedName name="RECAR">#N/A</definedName>
    <definedName name="RecCountryIRate">#REF!</definedName>
    <definedName name="receipts">#REF!</definedName>
    <definedName name="Receipts_16">#REF!</definedName>
    <definedName name="Receipts_17">#REF!</definedName>
    <definedName name="Receipts_4">#REF!</definedName>
    <definedName name="RECEIVABLE">#REF!</definedName>
    <definedName name="RECEIVABLE_C">#REF!</definedName>
    <definedName name="RECEIVABLE_L">#REF!</definedName>
    <definedName name="RECEIVABLE_P">#REF!</definedName>
    <definedName name="RECEIVABLES_MOVEMENT">#REF!</definedName>
    <definedName name="RecentAccomplishments">#REF!</definedName>
    <definedName name="recirc_d">#REF!</definedName>
    <definedName name="RECLBS1">#REF!</definedName>
    <definedName name="RECLPL1">#REF!</definedName>
    <definedName name="reco">#REF!</definedName>
    <definedName name="Reco_Xai">#REF!</definedName>
    <definedName name="recon">#REF!</definedName>
    <definedName name="Reconciliation">#REF!</definedName>
    <definedName name="Recons" hidden="1">{#N/A,#N/A,FALSE,"COMP"}</definedName>
    <definedName name="recooo">#REF!</definedName>
    <definedName name="Record1">#REF!</definedName>
    <definedName name="Record2">#REF!</definedName>
    <definedName name="_xlnm.Recorder">#REF!</definedName>
    <definedName name="RECOUT">#N/A</definedName>
    <definedName name="RECR">#REF!</definedName>
    <definedName name="recruitment">#REF!</definedName>
    <definedName name="RED_RIVER_BRIDGE__THANH_TRI_BRIDGE__CONSTRUCTION_PROJECT">#REF!</definedName>
    <definedName name="REDEV">#N/A</definedName>
    <definedName name="redo" hidden="1">{#N/A,#N/A,FALSE,"ACQ_GRAPHS";#N/A,#N/A,FALSE,"T_1 GRAPHS";#N/A,#N/A,FALSE,"T_2 GRAPHS";#N/A,#N/A,FALSE,"COMB_GRAPHS"}</definedName>
    <definedName name="Reduce_Turnover_of_Top_Performers">#REF!</definedName>
    <definedName name="Reduce_Turnover_Timely_Compensation_Review_Increase_Utilization">#REF!</definedName>
    <definedName name="reestime">#N/A</definedName>
    <definedName name="reete" hidden="1">{#N/A,#N/A,FALSE,"QC REVIEW"}</definedName>
    <definedName name="REF" hidden="1">{#N/A,#N/A,FALSE,"Tabl. A1";#N/A,#N/A,FALSE,"Tabl. A1 b";#N/A,#N/A,FALSE,"Tabl. A2";#N/A,#N/A,FALSE,"Tabl. A2-1";#N/A,#N/A,FALSE,"Tabl. A2-2"}</definedName>
    <definedName name="Ref._pièce">#REF!</definedName>
    <definedName name="Ref_1">#REF!</definedName>
    <definedName name="Ref_10">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2">#REF!</definedName>
    <definedName name="Ref_3">#REF!</definedName>
    <definedName name="Ref_4">#REF!</definedName>
    <definedName name="Ref_5">#REF!</definedName>
    <definedName name="Ref_6">#REF!</definedName>
    <definedName name="Ref_7">#REF!</definedName>
    <definedName name="Ref_8">#REF!</definedName>
    <definedName name="Ref_9">#REF!</definedName>
    <definedName name="ref_function">#REF!</definedName>
    <definedName name="ref_kit">#REF!</definedName>
    <definedName name="ref_option_quotation">#REF!</definedName>
    <definedName name="Ref_Switch_Asia">#REF!</definedName>
    <definedName name="REFER">#REF!</definedName>
    <definedName name="REFERENCE">#REF!</definedName>
    <definedName name="refine">#REF!</definedName>
    <definedName name="REFRV">#N/A</definedName>
    <definedName name="Refund">#REF!</definedName>
    <definedName name="REG_DF_EUROPE">#REF!</definedName>
    <definedName name="REG_DF_IRAN">#REF!</definedName>
    <definedName name="REG_DF_OTHERS">#REF!</definedName>
    <definedName name="REG_DF_TOTAL">#REF!</definedName>
    <definedName name="regdet">#REF!</definedName>
    <definedName name="reggie" hidden="1">{#N/A,#N/A,FALSE,"Pharm";#N/A,#N/A,FALSE,"WWCM"}</definedName>
    <definedName name="Region">#REF!</definedName>
    <definedName name="region10" hidden="1">#REF!</definedName>
    <definedName name="Regulator_Asy_Htr_Control">#REF!</definedName>
    <definedName name="Reinvest">#REF!</definedName>
    <definedName name="rel_defr">#REF!</definedName>
    <definedName name="rel_defrost">#REF!</definedName>
    <definedName name="rel_floor">#REF!</definedName>
    <definedName name="rel_recirc">#REF!</definedName>
    <definedName name="rel_temp">#REF!</definedName>
    <definedName name="related">#REF!</definedName>
    <definedName name="rem">#REF!</definedName>
    <definedName name="REMARKS">#REF!</definedName>
    <definedName name="removehiddentext">#N/A</definedName>
    <definedName name="REN">#REF!</definedName>
    <definedName name="Renault">#REF!</definedName>
    <definedName name="Renewal">#REF!</definedName>
    <definedName name="rent">#REF!</definedName>
    <definedName name="rentadv">#REF!</definedName>
    <definedName name="RentElecAlloc">#REF!</definedName>
    <definedName name="RentLand">#REF!</definedName>
    <definedName name="RENU">#REF!</definedName>
    <definedName name="REO">#REF!</definedName>
    <definedName name="reop">#REF!</definedName>
    <definedName name="reop1">#REF!</definedName>
    <definedName name="REP">#REF!</definedName>
    <definedName name="Rep._synopt.">#REF!</definedName>
    <definedName name="Rep.Maint">#REF!</definedName>
    <definedName name="rep_assets">#REF!</definedName>
    <definedName name="repair">#REF!</definedName>
    <definedName name="REPAIRS">#REF!</definedName>
    <definedName name="RepandMaint">#REF!</definedName>
    <definedName name="REPO">#REF!</definedName>
    <definedName name="Report">#REF!</definedName>
    <definedName name="report_qtr">#REF!</definedName>
    <definedName name="ReportCreated">TRUE</definedName>
    <definedName name="reporting" hidden="1">{#N/A,#N/A,FALSE,"Tabl. FB300";#N/A,#N/A,FALSE,"Tabl. FB350";#N/A,#N/A,FALSE,"Tabl. FB400";#N/A,#N/A,FALSE,"Tabl. FB500";#N/A,#N/A,FALSE,"Tabl. FS090"}</definedName>
    <definedName name="reqdetails">#REF!</definedName>
    <definedName name="REQT">#REF!</definedName>
    <definedName name="REQUISITION_NO.">#REF!</definedName>
    <definedName name="res" hidden="1">{#N/A,#N/A,FALSE,"Tabl. FB300";#N/A,#N/A,FALSE,"Tabl. FB350";#N/A,#N/A,FALSE,"Tabl. FB400";#N/A,#N/A,FALSE,"Tabl. FB500";#N/A,#N/A,FALSE,"Tabl. FS090"}</definedName>
    <definedName name="Res.Surp">#REF!</definedName>
    <definedName name="RES__24">#REF!</definedName>
    <definedName name="RES__36">#REF!</definedName>
    <definedName name="res_sum" hidden="1">{#N/A,#N/A,FALSE,"COVER1.XLS ";#N/A,#N/A,FALSE,"RACT1.XLS";#N/A,#N/A,FALSE,"RACT2.XLS";#N/A,#N/A,FALSE,"ECCMP";#N/A,#N/A,FALSE,"WELDER.XLS"}</definedName>
    <definedName name="research">#REF!</definedName>
    <definedName name="RESERVE">#REF!</definedName>
    <definedName name="reserve1">#REF!</definedName>
    <definedName name="Reset">#REF!</definedName>
    <definedName name="Residual_difference">#REF!</definedName>
    <definedName name="residual_support">#REF!</definedName>
    <definedName name="Resource_Table">#REF!</definedName>
    <definedName name="resourcetable_2">#REF!</definedName>
    <definedName name="resp." hidden="1">{#N/A,#N/A,FALSE,"Pharm";#N/A,#N/A,FALSE,"WWCM"}</definedName>
    <definedName name="RESPONSIBILITYAPPLICATIONID1">#REF!</definedName>
    <definedName name="RESPONSIBILITYAPPLICATIONID2">#REF!</definedName>
    <definedName name="RESPONSIBILITYAPPLICATIONID3">#REF!</definedName>
    <definedName name="RESPONSIBILITYID1">#REF!</definedName>
    <definedName name="RESPONSIBILITYID2">#REF!</definedName>
    <definedName name="RESPONSIBILITYID3">#REF!</definedName>
    <definedName name="RESPONSIBILITYNAME1">#REF!</definedName>
    <definedName name="RESPONSIBILITYNAME2">#REF!</definedName>
    <definedName name="RESPONSIBILITYNAME3">#REF!</definedName>
    <definedName name="RespOTC">#REF!</definedName>
    <definedName name="RespTotal">#REF!</definedName>
    <definedName name="ResQuoteIdDesc">#REF!</definedName>
    <definedName name="ressurp">#REF!</definedName>
    <definedName name="result" hidden="1">{#N/A,#N/A,FALSE,"Tabl. G1";#N/A,#N/A,FALSE,"Tabl. G2"}</definedName>
    <definedName name="resultc">#REF!</definedName>
    <definedName name="resultp">#REF!</definedName>
    <definedName name="RESUMEN">#N/A</definedName>
    <definedName name="ResUserFax">#REF!</definedName>
    <definedName name="ResUserName">#REF!</definedName>
    <definedName name="ResUserPhone1">#REF!</definedName>
    <definedName name="ResUserPhone2">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CY01">#REF!</definedName>
    <definedName name="Retail_CY02">#REF!</definedName>
    <definedName name="Retail_Dealer_Cash">#REF!</definedName>
    <definedName name="Retail_Expense">#REF!</definedName>
    <definedName name="retail_feb">#REF!</definedName>
    <definedName name="retail_jan">#REF!</definedName>
    <definedName name="Retail_Provision">#REF!</definedName>
    <definedName name="Retail_Provision_CY02">#REF!</definedName>
    <definedName name="Retail_Total">#REF!</definedName>
    <definedName name="Retail_Total_CY02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te" hidden="1">{#N/A,#N/A,FALSE,"QC REVIEW"}</definedName>
    <definedName name="return">#N/A</definedName>
    <definedName name="return1">nopat1/capital1</definedName>
    <definedName name="return1_2">#NAME?/#NAME?</definedName>
    <definedName name="Returns">#REF!</definedName>
    <definedName name="reu" hidden="1">{#N/A,#N/A,FALSE,"gc (2)"}</definedName>
    <definedName name="reuvcnvjvbigig" hidden="1">{"'OBT_6M_30_6'!$S$1:$AE$53"}</definedName>
    <definedName name="REV">#REF!</definedName>
    <definedName name="Rev_Adj">#REF!</definedName>
    <definedName name="Rev_Green">#REF!</definedName>
    <definedName name="Rev_Mitra">#REF!</definedName>
    <definedName name="REV_REP">#REF!</definedName>
    <definedName name="REV_REP_23_SEP">#REF!</definedName>
    <definedName name="Rev_Tapi">#REF!</definedName>
    <definedName name="Rev_weiz">#REF!</definedName>
    <definedName name="REVBUD">#REF!</definedName>
    <definedName name="REVCOST">#REF!</definedName>
    <definedName name="REVCUST">#N/A</definedName>
    <definedName name="RevEBITActM10Y1">#REF!</definedName>
    <definedName name="RevEBITActM10Y2">#REF!</definedName>
    <definedName name="RevEBITActM11Y1">#REF!</definedName>
    <definedName name="RevEBITActM11Y2">#REF!</definedName>
    <definedName name="RevEBITActM12Y1">#REF!</definedName>
    <definedName name="RevEBITActM12Y2">#REF!</definedName>
    <definedName name="RevEBITActM1Y1">#REF!</definedName>
    <definedName name="RevEBITActM1Y2">#REF!</definedName>
    <definedName name="RevEBITActM2Y1">#REF!</definedName>
    <definedName name="RevEBITActM2Y2">#REF!</definedName>
    <definedName name="RevEBITActM3Y1">#REF!</definedName>
    <definedName name="RevEBITActM3Y2">#REF!</definedName>
    <definedName name="RevEBITActM4Y1">#REF!</definedName>
    <definedName name="RevEBITActM4Y2">#REF!</definedName>
    <definedName name="RevEBITActM5Y1">#REF!</definedName>
    <definedName name="RevEBITActM5Y2">#REF!</definedName>
    <definedName name="RevEBITActM6Y1">#REF!</definedName>
    <definedName name="RevEBITActM6Y2">#REF!</definedName>
    <definedName name="RevEBITActM7Y1">#REF!</definedName>
    <definedName name="RevEBITActM7Y2">#REF!</definedName>
    <definedName name="RevEBITActM8Y1">#REF!</definedName>
    <definedName name="RevEBITActM8Y2">#REF!</definedName>
    <definedName name="RevEBITActM9Y1">#REF!</definedName>
    <definedName name="RevEBITActM9Y2">#REF!</definedName>
    <definedName name="RevEBITFcstM10Y1">#REF!</definedName>
    <definedName name="RevEBITFcstM10Y2">#REF!</definedName>
    <definedName name="RevEBITFcstM11Y1">#REF!</definedName>
    <definedName name="RevEBITFcstM11Y2">#REF!</definedName>
    <definedName name="RevEBITFcstM12Y1">#REF!</definedName>
    <definedName name="RevEBITFcstM12Y2">#REF!</definedName>
    <definedName name="RevEBITFcstM1Y1">#REF!</definedName>
    <definedName name="RevEBITFcstM1Y2">#REF!</definedName>
    <definedName name="RevEBITFcstM2Y1">#REF!</definedName>
    <definedName name="RevEBITFcstM2Y2">#REF!</definedName>
    <definedName name="RevEBITFcstM3Y1">#REF!</definedName>
    <definedName name="RevEBITFcstM3Y2">#REF!</definedName>
    <definedName name="RevEBITFcstM4Y1">#REF!</definedName>
    <definedName name="RevEBITFcstM4Y2">#REF!</definedName>
    <definedName name="RevEBITFcstM5Y1">#REF!</definedName>
    <definedName name="RevEBITFcstM5Y2">#REF!</definedName>
    <definedName name="RevEBITFcstM6Y1">#REF!</definedName>
    <definedName name="RevEBITFcstM6Y2">#REF!</definedName>
    <definedName name="RevEBITFcstM7Y1">#REF!</definedName>
    <definedName name="RevEBITFcstM7Y2">#REF!</definedName>
    <definedName name="RevEBITFcstM8Y1">#REF!</definedName>
    <definedName name="RevEBITFcstM8Y2">#REF!</definedName>
    <definedName name="RevEBITFcstM9Y1">#REF!</definedName>
    <definedName name="RevEBITFcstM9Y2">#REF!</definedName>
    <definedName name="Revenue">#REF!</definedName>
    <definedName name="REVENUE__B">#REF!</definedName>
    <definedName name="REVENUE_M2A">#REF!</definedName>
    <definedName name="REVENUE_M2B">#REF!</definedName>
    <definedName name="REVENUE_M2C">#REF!</definedName>
    <definedName name="REVENUE_M2D">#REF!</definedName>
    <definedName name="REVENUE_P">#REF!</definedName>
    <definedName name="REVERSAL" hidden="1">{"'I-1 and I-2'!$A$1:$G$190"}</definedName>
    <definedName name="reverse">#REF!,#REF!,#REF!,#REF!,#REF!,#REF!,#REF!,#REF!,#REF!,#REF!,#REF!,#REF!,#REF!,#REF!,#REF!,#REF!,#REF!,#REF!,#REF!,#REF!,#REF!,#REF!</definedName>
    <definedName name="review" hidden="1">{"'Sch B'!$B$15:$L$17"}</definedName>
    <definedName name="Review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evised" hidden="1">{#N/A,#N/A,FALSE,"COMP"}</definedName>
    <definedName name="Revised___I">#REF!</definedName>
    <definedName name="REVISION">#REF!</definedName>
    <definedName name="REVLOC">#REF!</definedName>
    <definedName name="revolver">#REF!</definedName>
    <definedName name="Revolver2">#REF!</definedName>
    <definedName name="revolver3">#REF!</definedName>
    <definedName name="REVOLVEREQ">#REF!</definedName>
    <definedName name="REVOLVEREQ1">#REF!</definedName>
    <definedName name="REVOLVERRATE">#REF!</definedName>
    <definedName name="REVOLVERRATE1">#REF!</definedName>
    <definedName name="rew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wtwe" hidden="1">{#N/A,#N/A,FALSE,"COMP"}</definedName>
    <definedName name="reya" hidden="1">{"office ltcg",#N/A,FALSE,"gain01";"IT LTCG",#N/A,FALSE,"gain01"}</definedName>
    <definedName name="RF">#REF!</definedName>
    <definedName name="rf2e" hidden="1">{#N/A,#N/A,FALSE,"Pharm";#N/A,#N/A,FALSE,"WWCM"}</definedName>
    <definedName name="rfact">#REF!</definedName>
    <definedName name="RFCL">#REF!</definedName>
    <definedName name="RFF" hidden="1">{"'OBT_6M_30_6'!$S$1:$AE$53"}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std">#REF!</definedName>
    <definedName name="RG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17">#REF!</definedName>
    <definedName name="rg_4">#REF!</definedName>
    <definedName name="rgergd">#REF!</definedName>
    <definedName name="rgnl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h" hidden="1">{#N/A,#N/A,FALSE,"FREE"}</definedName>
    <definedName name="rho">#REF!</definedName>
    <definedName name="rhw" hidden="1">{#N/A,#N/A,FALSE,"FREE"}</definedName>
    <definedName name="rhw_1" hidden="1">{#N/A,#N/A,FALSE,"FREE"}</definedName>
    <definedName name="rhw_2" hidden="1">{#N/A,#N/A,FALSE,"FREE"}</definedName>
    <definedName name="rhw_3" hidden="1">{#N/A,#N/A,FALSE,"FREE"}</definedName>
    <definedName name="rhw_4" hidden="1">{#N/A,#N/A,FALSE,"FREE"}</definedName>
    <definedName name="rhwr" hidden="1">{TRUE,TRUE,-1.25,-15.5,484.5,255,FALSE,FALSE,TRUE,FALSE,0,2,16,1,6,13,5,4,TRUE,TRUE,3,TRUE,1,TRUE,75,"Swvu.A.","ACwvu.A.",#N/A,FALSE,FALSE,0.2,0.22,1,0.641,2,"&amp;L&amp;""Arial,Bold""&amp;11Essar Projects LimitedEOL Refinery Project&amp;C&amp;""Arial,Bold""&amp;14TOTAL REFINERY PROJECTREFINERY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">#REF!</definedName>
    <definedName name="RichterDuty5">#REF!</definedName>
    <definedName name="RichterDuty7">#REF!</definedName>
    <definedName name="RichterDuty8">#REF!</definedName>
    <definedName name="RichterStock5">#REF!</definedName>
    <definedName name="RichterStock7">#REF!</definedName>
    <definedName name="RichterStock8">#REF!</definedName>
    <definedName name="RichterVAT5">#REF!</definedName>
    <definedName name="RichterVAT7">#REF!</definedName>
    <definedName name="RichterVAT8">#REF!</definedName>
    <definedName name="right">#N/A</definedName>
    <definedName name="rint">#REF!</definedName>
    <definedName name="rip">#REF!</definedName>
    <definedName name="ripacols">#REF!</definedName>
    <definedName name="ripal" hidden="1">{#N/A,#N/A,FALSE,"gc (2)"}</definedName>
    <definedName name="riptcols">#REF!</definedName>
    <definedName name="RISK">#REF!</definedName>
    <definedName name="Risk_Free">#REF!</definedName>
    <definedName name="Risk_Premium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224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TRUE</definedName>
    <definedName name="RiskUseDifferentSeedForEachSim">FALSE</definedName>
    <definedName name="RiskUseFixedSeed">FALSE</definedName>
    <definedName name="RiskUseMultipleCPUs">FALSE</definedName>
    <definedName name="RITA" hidden="1">{"'OBT_6M_30_6'!$S$1:$AE$53"}</definedName>
    <definedName name="RITA1" hidden="1">{"'OBT_6M_30_6'!$S$1:$AE$53"}</definedName>
    <definedName name="RITA2" hidden="1">{"'OBT_6M_30_6'!$S$1:$AE$53"}</definedName>
    <definedName name="RITA3" hidden="1">{"'OBT_6M_30_6'!$S$1:$AE$53"}</definedName>
    <definedName name="RITA4" hidden="1">{#N/A,#N/A,FALSE,"Japan";#N/A,#N/A,FALSE,"Taiwan";#N/A,#N/A,FALSE,"Thailand";#N/A,#N/A,FALSE,"Australia"}</definedName>
    <definedName name="RITA5" hidden="1">{#N/A,#N/A,FALSE,"CKD Price Build Up"}</definedName>
    <definedName name="RITA6" hidden="1">{#N/A,#N/A,FALSE,"Contr. Margin"}</definedName>
    <definedName name="rixi" hidden="1">{"oct_res_comm",#N/A,FALSE,"VarToBud"}</definedName>
    <definedName name="RJASSET">#REF!</definedName>
    <definedName name="rjod" hidden="1">{"detail",#N/A,FALSE,"mfg";"summary",#N/A,FALSE,"mfg"}</definedName>
    <definedName name="RK">#REF!</definedName>
    <definedName name="rkods" hidden="1">{"detail",#N/A,FALSE,"mfg";"summary",#N/A,FALSE,"mfg"}</definedName>
    <definedName name="rl">{#N/A,#N/A,FALSE,"AUDIT-MWOS"}</definedName>
    <definedName name="RM">#REF!</definedName>
    <definedName name="RM_COST">#REF!</definedName>
    <definedName name="RM_PRICE">#REF!</definedName>
    <definedName name="rmb">#REF!</definedName>
    <definedName name="RMBUD">#REF!</definedName>
    <definedName name="rmcAccount">2300</definedName>
    <definedName name="rmcApplication">"MC35"</definedName>
    <definedName name="rmcCategory">"PROPST"</definedName>
    <definedName name="rmcFrequency">"YTD"</definedName>
    <definedName name="rmcols">#REF!</definedName>
    <definedName name="RMCOptions">"*000000000000000"</definedName>
    <definedName name="RMCOST">#REF!</definedName>
    <definedName name="rmcPeriod">9612</definedName>
    <definedName name="RMIN">#N/A</definedName>
    <definedName name="RMM1A1">#REF!</definedName>
    <definedName name="RMM1BUD">#REF!</definedName>
    <definedName name="RMREOH">#N/A</definedName>
    <definedName name="RMRMR">#REF!</definedName>
    <definedName name="RMRNOT">#N/A</definedName>
    <definedName name="RNDBOH">#N/A</definedName>
    <definedName name="RNDEOH">#N/A</definedName>
    <definedName name="RNGDETAILS0">#REF!</definedName>
    <definedName name="RO">#REF!</definedName>
    <definedName name="roa_asp">#REF!</definedName>
    <definedName name="roa_bklg">#REF!</definedName>
    <definedName name="roa_col">#REF!</definedName>
    <definedName name="roa_detail">#REF!</definedName>
    <definedName name="ROA_inv">#REF!</definedName>
    <definedName name="roa_si">#REF!</definedName>
    <definedName name="RoadBlocks">#REF!</definedName>
    <definedName name="ROAROI">#REF!</definedName>
    <definedName name="ROCE">#REF!</definedName>
    <definedName name="roHIT">#REF!</definedName>
    <definedName name="ROI">#REF!</definedName>
    <definedName name="ROIActY1">#REF!</definedName>
    <definedName name="ROIActY2">#REF!</definedName>
    <definedName name="ROIFcstY1">#REF!</definedName>
    <definedName name="ROIFcstY2">#REF!</definedName>
    <definedName name="rolrort" hidden="1">{"'BGT2001'!$A$1:$AE$112"}</definedName>
    <definedName name="roulunds" hidden="1">{"'I-1 and I-2'!$A$1:$G$190"}</definedName>
    <definedName name="Routing">#REF!</definedName>
    <definedName name="Routing_Percentage">#REF!</definedName>
    <definedName name="ROWSTOUPLOAD1">#REF!</definedName>
    <definedName name="ROWSTOUPLOAD2">#REF!</definedName>
    <definedName name="ROWSTOUPLOAD3">#REF!</definedName>
    <definedName name="RPK_PA">#REF!</definedName>
    <definedName name="rpt">#REF!</definedName>
    <definedName name="rpt_6307">#REF!</definedName>
    <definedName name="RR">#REF!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adj">#N/A</definedName>
    <definedName name="rrdsa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r" hidden="1">{#N/A,#N/A,FALSE,"CKD Price Build Up"}</definedName>
    <definedName name="rrrr" hidden="1">{#N/A,#N/A,FALSE,"Tabl. H1";#N/A,#N/A,FALSE,"Tabl. H2"}</definedName>
    <definedName name="rrrrr" hidden="1">{#N/A,#N/A,FALSE,"Pharm";#N/A,#N/A,FALSE,"WWCM"}</definedName>
    <definedName name="rrrrrrrrr">#N/A</definedName>
    <definedName name="rrrrrryyyyyy">#REF!</definedName>
    <definedName name="rrrrtttttttt">#N/A</definedName>
    <definedName name="rs">#REF!</definedName>
    <definedName name="rs_d">#REF!</definedName>
    <definedName name="Rs_Kg">#REF!</definedName>
    <definedName name="RS_prodn">#REF!</definedName>
    <definedName name="RS_Receipt">#REF!</definedName>
    <definedName name="rsac" hidden="1">{"PAGE 1",#N/A,FALSE,"COS Excluding Geismar";"PAGE 2",#N/A,FALSE,"COS Excluding Geismar";"PAGE 3",#N/A,FALSE,"COS Excluding Geismar"}</definedName>
    <definedName name="RSB">#REF!</definedName>
    <definedName name="Rscr">#REF!</definedName>
    <definedName name="Rscrr">#REF!</definedName>
    <definedName name="rsde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sem" hidden="1">{#N/A,#N/A,FALSE,"1996";#N/A,#N/A,FALSE,"1995";#N/A,#N/A,FALSE,"1994"}</definedName>
    <definedName name="rsf">#REF!</definedName>
    <definedName name="rsf_17">#REF!</definedName>
    <definedName name="rsf_4">#REF!</definedName>
    <definedName name="RSI">#REF!</definedName>
    <definedName name="Rskg">#REF!</definedName>
    <definedName name="RSprod1">#REF!</definedName>
    <definedName name="RSprod2">#REF!</definedName>
    <definedName name="RSU_Confirmation_of_Release">#REF!</definedName>
    <definedName name="rsurp">#REF!</definedName>
    <definedName name="RSVAmount">#REF!</definedName>
    <definedName name="RSVCode">#REF!</definedName>
    <definedName name="RSVDescription">#REF!</definedName>
    <definedName name="RSVLinked_Approval_Code">#REF!</definedName>
    <definedName name="RSVLinked_Approval_type">#REF!</definedName>
    <definedName name="RSVType">#REF!</definedName>
    <definedName name="rt">#REF!</definedName>
    <definedName name="RT???RTDKDK">#REF!</definedName>
    <definedName name="RT¿i?e½ARTDKDK">#REF!</definedName>
    <definedName name="RT¿i≫e½ARTDKDK">#REF!</definedName>
    <definedName name="RTA" hidden="1">{#N/A,#N/A,FALSE,"Tabl. G1";#N/A,#N/A,FALSE,"Tabl. G2"}</definedName>
    <definedName name="rta_2" hidden="1">{#N/A,#N/A,FALSE,"Assumptions";#N/A,#N/A,FALSE,"Volumes";#N/A,#N/A,FALSE,"Pricing";#N/A,#N/A,FALSE,"Variable Cost";#N/A,#N/A,FALSE,"Investment";#N/A,#N/A,FALSE,"Profitability";#N/A,#N/A,FALSE,"Business Comparison"}</definedName>
    <definedName name="rtact">#REF!</definedName>
    <definedName name="RTCL???RTDK">#REF!</definedName>
    <definedName name="RTCLSPRT">#REF!</definedName>
    <definedName name="rtclsprtdk">#REF!</definedName>
    <definedName name="rtclsprtdkGMrtrt">#REF!</definedName>
    <definedName name="rtclsprtdkrtGMrtrt">#REF!</definedName>
    <definedName name="RTCL울산시RTDK">#REF!</definedName>
    <definedName name="rtds" hidden="1">{"ICD Details",#N/A,FALSE,"Current Yr";"ICD Details",#N/A,FALSE,"Budget";"ICD Details",#N/A,FALSE,"Prior Year"}</definedName>
    <definedName name="rtet" hidden="1">{#N/A,#N/A,FALSE,"QC REVIEW"}</definedName>
    <definedName name="rtetete" hidden="1">{#N/A,#N/A,FALSE,"QC REVIEW"}</definedName>
    <definedName name="RTF">#REF!</definedName>
    <definedName name="rtfg" hidden="1">{"LAPO2N2",#N/A,FALSE,"CM";"TOTTEXAS",#N/A,FALSE,"CM";"LOUISIANA",#N/A,FALSE,"CM";"GENERALH2",#N/A,FALSE,"CM";"PRS",#N/A,FALSE,"CM";"PACKAGE",#N/A,FALSE,"CM";"OTHER",#N/A,FALSE,"CM"}</definedName>
    <definedName name="rtgdsfgdsrhdf" hidden="1">{#N/A,#N/A,FALSE,"PMTABB";#N/A,#N/A,FALSE,"PMTABB"}</definedName>
    <definedName name="rtgh" hidden="1">{#N/A,#N/A,TRUE,"Sheet1";#N/A,#N/A,TRUE,"Sheet2";#N/A,#N/A,TRUE,"Sheet3";#N/A,#N/A,TRUE,"Sheet4";#N/A,#N/A,TRUE,"Sheet5";#N/A,#N/A,TRUE,"Sheet6";#N/A,#N/A,TRUE,"Sheet7"}</definedName>
    <definedName name="rthth" hidden="1">{TRUE,TRUE,-1.25,-15.5,484.5,255,FALSE,FALSE,TRUE,FALSE,0,2,16,1,6,13,5,4,TRUE,TRUE,3,TRUE,1,TRUE,75,"Swvu.A.","ACwvu.A.",#N/A,FALSE,FALSE,0.2,0.22,1,0.641,2,"&amp;L&amp;""Arial,Bold""&amp;11Essar Projects LimitedEOL Refinery Project&amp;C&amp;""Arial,Bold""&amp;14TOTAL REFINERY PROJECTREFINERY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IN">#N/A</definedName>
    <definedName name="Rtitle">#REF!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QERTQ" hidden="1">{#N/A,#N/A,FALSE,"QC REVIEW"}</definedName>
    <definedName name="rtre">#REF!</definedName>
    <definedName name="rtrete" hidden="1">{#N/A,#N/A,FALSE,"QC REVIEW"}</definedName>
    <definedName name="rtrr" hidden="1">{#N/A,#N/A,TRUE,"Argentina";#N/A,#N/A,TRUE,"Brazil";#N/A,#N/A,TRUE,"Venezuela";#N/A,#N/A,TRUE,"Chile";#N/A,#N/A,TRUE,"Other LA";#N/A,#N/A,TRUE,"Puerto Rico"}</definedName>
    <definedName name="rtstd">#REF!</definedName>
    <definedName name="rty" hidden="1">{"ICD Details",#N/A,FALSE,"Current Yr";"ICD Details",#N/A,FALSE,"Budget";"ICD Details",#N/A,FALSE,"Prior Year"}</definedName>
    <definedName name="rtyry" hidden="1">{#N/A,#N/A,FALSE,"QC REVIEW"}</definedName>
    <definedName name="rtyryh" hidden="1">{#N/A,#N/A,FALSE,"QC REVIEW"}</definedName>
    <definedName name="RTYU" hidden="1">{#N/A,#N/A,FALSE,"PGW"}</definedName>
    <definedName name="RTYU_1" hidden="1">{#N/A,#N/A,FALSE,"PGW"}</definedName>
    <definedName name="RTYU_2" hidden="1">{#N/A,#N/A,FALSE,"PGW"}</definedName>
    <definedName name="RTYU_3" hidden="1">{#N/A,#N/A,FALSE,"PGW"}</definedName>
    <definedName name="RTYU_4" hidden="1">{#N/A,#N/A,FALSE,"PGW"}</definedName>
    <definedName name="ruby">#REF!</definedName>
    <definedName name="Run_Markets">#REF!</definedName>
    <definedName name="RUPEE">#REF!</definedName>
    <definedName name="Russia_AutoLightning">#REF!</definedName>
    <definedName name="Russia_AVAR">#REF!</definedName>
    <definedName name="Russia_AvtoAgregat">#REF!</definedName>
    <definedName name="Russia_BelZAN">#REF!</definedName>
    <definedName name="Russia_CHAZ">#REF!</definedName>
    <definedName name="Russia_FuelSystems">#REF!</definedName>
    <definedName name="Russia_GAZ">#REF!</definedName>
    <definedName name="Russia_GUP">#REF!</definedName>
    <definedName name="Russia_Itelma">#REF!</definedName>
    <definedName name="Russia_Kamaz">#REF!</definedName>
    <definedName name="Russia_KK">#REF!</definedName>
    <definedName name="Russia_LadaPlast">#REF!</definedName>
    <definedName name="Russia_PES">#REF!</definedName>
    <definedName name="Russia_Plastik">#REF!</definedName>
    <definedName name="Russia_VDO">#REF!</definedName>
    <definedName name="Russia_ZMZ">#REF!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V_TM">#REF!</definedName>
    <definedName name="rvcvhyh" hidden="1">{"'OBT_6M_30_6'!$S$1:$AE$53"}</definedName>
    <definedName name="rw" hidden="1">{#N/A,#N/A,FALSE,"COVER1.XLS ";#N/A,#N/A,FALSE,"RACT1.XLS";#N/A,#N/A,FALSE,"RACT2.XLS";#N/A,#N/A,FALSE,"ECCMP";#N/A,#N/A,FALSE,"WELDER.XLS"}</definedName>
    <definedName name="rweq" hidden="1">{"TEXO2N2_VOL",#N/A,FALSE,"MTHLYVOL";"TEXH2_VOL",#N/A,FALSE,"MTHLYVOL";"LOUIS_VOL",#N/A,FALSE,"MTHLYVOL";"H2_VOL",#N/A,FALSE,"MTHLYVOL";"O2N2_VOL",#N/A,FALSE,"MTHLYVOL";"PACKAGE_VOL",#N/A,FALSE,"MTHLYVOL"}</definedName>
    <definedName name="rwere" hidden="1">{#N/A,#N/A,FALSE,"COVER1.XLS ";#N/A,#N/A,FALSE,"RACT1.XLS";#N/A,#N/A,FALSE,"RACT2.XLS";#N/A,#N/A,FALSE,"ECCMP";#N/A,#N/A,FALSE,"WELDER.XLS"}</definedName>
    <definedName name="rwert" hidden="1">{#N/A,#N/A,FALSE,"Pharm";#N/A,#N/A,FALSE,"WWCM"}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h" hidden="1">{#N/A,#N/A,FALSE,"PGW"}</definedName>
    <definedName name="rwh_1" hidden="1">{#N/A,#N/A,FALSE,"PGW"}</definedName>
    <definedName name="rwh_2" hidden="1">{#N/A,#N/A,FALSE,"PGW"}</definedName>
    <definedName name="rwh_3" hidden="1">{#N/A,#N/A,FALSE,"PGW"}</definedName>
    <definedName name="rwh_4" hidden="1">{#N/A,#N/A,FALSE,"PGW"}</definedName>
    <definedName name="rwhwr" hidden="1">{#N/A,#N/A,FALSE,"PGW"}</definedName>
    <definedName name="rwhwr_1" hidden="1">{#N/A,#N/A,FALSE,"PGW"}</definedName>
    <definedName name="rwhwr_2" hidden="1">{#N/A,#N/A,FALSE,"PGW"}</definedName>
    <definedName name="rwhwr_3" hidden="1">{#N/A,#N/A,FALSE,"PGW"}</definedName>
    <definedName name="rwhwr_4" hidden="1">{#N/A,#N/A,FALSE,"PGW"}</definedName>
    <definedName name="rwrwr" hidden="1">{#N/A,#N/A,FALSE,"QC REVIEW"}</definedName>
    <definedName name="rwsz" hidden="1">{"Commentary",#N/A,FALSE,"May"}</definedName>
    <definedName name="rwxz" hidden="1">{"TXO2N2_SLS",#N/A,FALSE,"MTHLYSLES";"TXH2_SLS",#N/A,FALSE,"MTHLYSLES";"LOUIS_SLS",#N/A,FALSE,"MTHLYSLES";"H2_SLS",#N/A,FALSE,"MTHLYSLES";"O2N2_SLS",#N/A,FALSE,"MTHLYSLES";"PACKAGE_SLS",#N/A,FALSE,"MTHLYSLES"}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xTotal">#REF!</definedName>
    <definedName name="ryuhryttr" hidden="1">{#N/A,#N/A,FALSE,"QC REVIEW"}</definedName>
    <definedName name="R행">#REF!</definedName>
    <definedName name="s">#REF!</definedName>
    <definedName name="s.6_30">#REF!</definedName>
    <definedName name="s.6_31">#REF!</definedName>
    <definedName name="s.6_32">#REF!</definedName>
    <definedName name="s.6_33">#REF!</definedName>
    <definedName name="s.6_34">#REF!</definedName>
    <definedName name="s.6_40">#REF!</definedName>
    <definedName name="s.6_50">#REF!</definedName>
    <definedName name="s.6_51">#REF!</definedName>
    <definedName name="s.6_52">#REF!</definedName>
    <definedName name="s.6_53">#REF!</definedName>
    <definedName name="s.6_54">#REF!</definedName>
    <definedName name="s.6_55">#REF!</definedName>
    <definedName name="S.Debtors">#REF!</definedName>
    <definedName name="S?">#REF!</definedName>
    <definedName name="S_1_2">#N/A</definedName>
    <definedName name="S_10_11_12">#N/A</definedName>
    <definedName name="S_13_14___15">#N/A</definedName>
    <definedName name="S_16_17">#REF!</definedName>
    <definedName name="S_18___19">#N/A</definedName>
    <definedName name="s_2" hidden="1">{#N/A,#N/A,FALSE,"EW"}</definedName>
    <definedName name="S_20_21___22">#REF!</definedName>
    <definedName name="S_23">#N/A</definedName>
    <definedName name="s_3" hidden="1">{#N/A,#N/A,FALSE,"EW"}</definedName>
    <definedName name="S_3_4">#N/A</definedName>
    <definedName name="s_4" hidden="1">{#N/A,#N/A,FALSE,"EW"}</definedName>
    <definedName name="S_5_6">#REF!</definedName>
    <definedName name="s_6">#REF!</definedName>
    <definedName name="S_8_9">#N/A</definedName>
    <definedName name="S_AcctDes">#REF!</definedName>
    <definedName name="S_AcctNum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d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tax_recovery">#REF!</definedName>
    <definedName name="s_tcs">#REF!</definedName>
    <definedName name="s_tds2">#REF!</definedName>
    <definedName name="S_Total">#REF!</definedName>
    <definedName name="S_Total1">#REF!</definedName>
    <definedName name="S_Total2">#REF!</definedName>
    <definedName name="S_Total3">#REF!</definedName>
    <definedName name="S1_4">#REF!</definedName>
    <definedName name="S11_14">#REF!</definedName>
    <definedName name="S15_17">#REF!</definedName>
    <definedName name="S18_20">#REF!</definedName>
    <definedName name="S21_22">#REF!</definedName>
    <definedName name="S3_">#REF!</definedName>
    <definedName name="S3a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S5_6">#REF!</definedName>
    <definedName name="s6_actual30">#REF!</definedName>
    <definedName name="s6_actual31">#REF!</definedName>
    <definedName name="s6_actual32">#REF!</definedName>
    <definedName name="s6_actual33">#REF!</definedName>
    <definedName name="s6_actual34">#REF!</definedName>
    <definedName name="s6_actual40">#REF!</definedName>
    <definedName name="s6_actual50">#REF!</definedName>
    <definedName name="s6_actual51">#REF!</definedName>
    <definedName name="s6_actual52">#REF!</definedName>
    <definedName name="s6_actual53">#REF!</definedName>
    <definedName name="s6_actual54">#REF!</definedName>
    <definedName name="s6_actual55">#REF!</definedName>
    <definedName name="S7_10">#REF!</definedName>
    <definedName name="Sa">#REF!</definedName>
    <definedName name="SA_PA">#REF!</definedName>
    <definedName name="SA_table">#REF!</definedName>
    <definedName name="SA3_2">#REF!</definedName>
    <definedName name="SAB___I.B.I._REPORTING">#REF!</definedName>
    <definedName name="SABA">#REF!</definedName>
    <definedName name="sabi">#REF!</definedName>
    <definedName name="SAD">#REF!</definedName>
    <definedName name="sadd" hidden="1">{"MonthlyRentRoll",#N/A,FALSE,"RentRoll"}</definedName>
    <definedName name="sadd_1" hidden="1">{"MonthlyRentRoll",#N/A,FALSE,"RentRoll"}</definedName>
    <definedName name="saddd" hidden="1">{"AnnualRentRoll",#N/A,FALSE,"RentRoll"}</definedName>
    <definedName name="saddd_1" hidden="1">{"AnnualRentRoll",#N/A,FALSE,"RentRoll"}</definedName>
    <definedName name="saddddd" hidden="1">{"AnnualRentRoll",#N/A,FALSE,"RentRoll"}</definedName>
    <definedName name="saddddd_1" hidden="1">{"AnnualRentRoll",#N/A,FALSE,"RentRoll"}</definedName>
    <definedName name="sadddddddd" hidden="1">{#N/A,#N/A,FALSE,"ExitStratigy"}</definedName>
    <definedName name="sadddddddd_1" hidden="1">{#N/A,#N/A,FALSE,"ExitStratigy"}</definedName>
    <definedName name="sadddddddddd" hidden="1">{#N/A,#N/A,FALSE,"LoanAssumptions"}</definedName>
    <definedName name="sadddddddddd_1" hidden="1">{#N/A,#N/A,FALSE,"LoanAssumptions"}</definedName>
    <definedName name="saddddddddddddd" hidden="1">{#N/A,#N/A,FALSE,"OperatingAssumptions"}</definedName>
    <definedName name="saddddddddddddd_1" hidden="1">{#N/A,#N/A,FALSE,"OperatingAssumptions"}</definedName>
    <definedName name="sadfsad" hidden="1">#REF!</definedName>
    <definedName name="sadfsdf" hidden="1">{"page 1",#N/A,FALSE,"A";"page 2",#N/A,FALSE,"A";"page 3",#N/A,FALSE,"A";"page 4",#N/A,FALSE,"A";"page 5",#N/A,FALSE,"A"}</definedName>
    <definedName name="sadgtdrt" hidden="1">{#N/A,#N/A,FALSE,"PMTABB";#N/A,#N/A,FALSE,"PMTABB"}</definedName>
    <definedName name="sadgtdrt_2" hidden="1">{#N/A,#N/A,FALSE,"PMTABB";#N/A,#N/A,FALSE,"PMTABB"}</definedName>
    <definedName name="sadgtdrt_3" hidden="1">{#N/A,#N/A,FALSE,"PMTABB";#N/A,#N/A,FALSE,"PMTABB"}</definedName>
    <definedName name="sadgtdrt_4" hidden="1">{#N/A,#N/A,FALSE,"PMTABB";#N/A,#N/A,FALSE,"PMTABB"}</definedName>
    <definedName name="SADPL">#REF!</definedName>
    <definedName name="sadsadsad" hidden="1">{#N/A,#N/A,FALSE,"COMP"}</definedName>
    <definedName name="SADSaqdasd">#REF!</definedName>
    <definedName name="sadvs" hidden="1">{#N/A,#N/A,FALSE,"Financial";#N/A,#N/A,FALSE,"Balance Sheet";#N/A,#N/A,FALSE,"Income stmt";#N/A,#N/A,FALSE,"Ratio"}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INTRA">#REF!</definedName>
    <definedName name="Safroy" hidden="1">{"A Performance Report",#N/A,FALSE,"%Performance"}</definedName>
    <definedName name="SAG" hidden="1">#REF!</definedName>
    <definedName name="sagdhag" hidden="1">{#N/A,#N/A,FALSE,"COVER1.XLS ";#N/A,#N/A,FALSE,"RACT1.XLS";#N/A,#N/A,FALSE,"RACT2.XLS";#N/A,#N/A,FALSE,"ECCMP";#N/A,#N/A,FALSE,"WELDER.XLS"}</definedName>
    <definedName name="saghw">#REF!</definedName>
    <definedName name="sagsw">#REF!</definedName>
    <definedName name="SAI" hidden="1">{"A COM Detail YTD",#N/A,FALSE,"DATA";"B Exp Detail YTD",#N/A,FALSE,"DATA";"C COM Detail Qtr of",#N/A,FALSE,"DATA";"D Exp Detail Qtr of",#N/A,FALSE,"DATA";"A Performance Report",#N/A,FALSE,"%Performance"}</definedName>
    <definedName name="SAIDO">#REF!</definedName>
    <definedName name="SAIG">#REF!</definedName>
    <definedName name="sairam">#REF!</definedName>
    <definedName name="SAL">#REF!</definedName>
    <definedName name="Sal.Wages">#REF!</definedName>
    <definedName name="sal.xls">#REF!</definedName>
    <definedName name="SalActM10Y1">#REF!</definedName>
    <definedName name="SalActM10Y2">#REF!</definedName>
    <definedName name="SalActM11Y1">#REF!</definedName>
    <definedName name="SalActM11Y2">#REF!</definedName>
    <definedName name="SalActM12Y1">#REF!</definedName>
    <definedName name="SalActM12Y2">#REF!</definedName>
    <definedName name="SalActM1Y1">#REF!</definedName>
    <definedName name="SalActM1Y2">#REF!</definedName>
    <definedName name="SalActM2Y1">#REF!</definedName>
    <definedName name="SalActM2Y2">#REF!</definedName>
    <definedName name="SalActM3Y1">#REF!</definedName>
    <definedName name="SalActM3Y2">#REF!</definedName>
    <definedName name="SalActM4Y1">#REF!</definedName>
    <definedName name="SalActM4Y2">#REF!</definedName>
    <definedName name="SalActM5Y1">#REF!</definedName>
    <definedName name="SalActM5Y2">#REF!</definedName>
    <definedName name="SalActM6Y1">#REF!</definedName>
    <definedName name="SalActM6Y2">#REF!</definedName>
    <definedName name="SalActM7Y1">#REF!</definedName>
    <definedName name="SalActM7Y2">#REF!</definedName>
    <definedName name="SalActM8Y1">#REF!</definedName>
    <definedName name="SalActM8Y2">#REF!</definedName>
    <definedName name="SalActM9Y1">#REF!</definedName>
    <definedName name="SalActM9Y2">#REF!</definedName>
    <definedName name="SALALQUILER">#REF!</definedName>
    <definedName name="Salaries">#REF!</definedName>
    <definedName name="salary">#REF!</definedName>
    <definedName name="SALARY_FIN_MFG">#REF!</definedName>
    <definedName name="Salary_Worksheets">#REF!</definedName>
    <definedName name="SALAUXIL">#REF!</definedName>
    <definedName name="SALBONIF">#REF!</definedName>
    <definedName name="SALE">#N/A</definedName>
    <definedName name="Sale_details">#REF!</definedName>
    <definedName name="sale_income">#REF!</definedName>
    <definedName name="SALEBOH">#N/A</definedName>
    <definedName name="SALEEOH">#N/A</definedName>
    <definedName name="Salepurchase">#REF!</definedName>
    <definedName name="sales">#REF!</definedName>
    <definedName name="SALES_2">#REF!</definedName>
    <definedName name="Sales_by_Country_by_Group_99">#REF!</definedName>
    <definedName name="sales_change">#REF!</definedName>
    <definedName name="SALES_DATA">#REF!</definedName>
    <definedName name="Sales_Diff">#REF!</definedName>
    <definedName name="Sales_jan04">#REF!</definedName>
    <definedName name="Sales_Manager">#REF!</definedName>
    <definedName name="Sales_Person">#REF!</definedName>
    <definedName name="SALES_PROJECTION">#REF!</definedName>
    <definedName name="SALES_RETURN">#REF!</definedName>
    <definedName name="SALES_RETURNS">#REF!</definedName>
    <definedName name="SALES_RETURNS_C">#REF!</definedName>
    <definedName name="SALES_RETURNS_L">#REF!</definedName>
    <definedName name="SALES_RETURNS_P">#REF!</definedName>
    <definedName name="SALES_SUMMARY">#REF!</definedName>
    <definedName name="SALES_SUMMARY_C">#REF!</definedName>
    <definedName name="SALES_SUMMARY_L">#REF!</definedName>
    <definedName name="SALES_SUMMARY_P">#REF!</definedName>
    <definedName name="Sales_to_OM_acquisition_summary">#REF!</definedName>
    <definedName name="sales_value">#REF!</definedName>
    <definedName name="Sales1">#REF!</definedName>
    <definedName name="sales2">#REF!</definedName>
    <definedName name="sales97">#REF!</definedName>
    <definedName name="salesbasic">#REF!</definedName>
    <definedName name="Salesbreak">#REF!</definedName>
    <definedName name="salescollection">#REF!</definedName>
    <definedName name="salesdata">#REF!</definedName>
    <definedName name="SalesDB">#REF!</definedName>
    <definedName name="SALESdept">#REF!</definedName>
    <definedName name="salesjpn">#REF!</definedName>
    <definedName name="SalesMTCust1Budget">#REF!</definedName>
    <definedName name="SalesMTCust1NextQuarter">#REF!</definedName>
    <definedName name="SalesMTCust1Quarter">#REF!</definedName>
    <definedName name="SalesMTCust2NextQuarter">#REF!</definedName>
    <definedName name="SalesMTCust3Budget">#REF!</definedName>
    <definedName name="SalesMTCust3NextQuarter">#REF!</definedName>
    <definedName name="SalesMTTotal">#REF!</definedName>
    <definedName name="SalesMTTotalBudget">#REF!</definedName>
    <definedName name="SalesMTTotalNextQuarter">#REF!</definedName>
    <definedName name="SalesMTTotalQuarter">#REF!</definedName>
    <definedName name="SalesPlan">#REF!</definedName>
    <definedName name="Salespp" hidden="1">{"detail",#N/A,FALSE,"mfg";"summary",#N/A,FALSE,"mfg"}</definedName>
    <definedName name="SalesTotal">#REF!</definedName>
    <definedName name="SALEXP">#REF!</definedName>
    <definedName name="SalFcstM10Y1">#REF!</definedName>
    <definedName name="SalFcstM10Y2">#REF!</definedName>
    <definedName name="SalFcstM11Y1">#REF!</definedName>
    <definedName name="SalFcstM11Y2">#REF!</definedName>
    <definedName name="SalFcstM12Y1">#REF!</definedName>
    <definedName name="SalFcstM12Y2">#REF!</definedName>
    <definedName name="SalFcstM1Y1">#REF!</definedName>
    <definedName name="SalFcstM1Y2">#REF!</definedName>
    <definedName name="SalFcstM2Y1">#REF!</definedName>
    <definedName name="SalFcstM2Y2">#REF!</definedName>
    <definedName name="SalFcstM3Y1">#REF!</definedName>
    <definedName name="SalFcstM3Y2">#REF!</definedName>
    <definedName name="SalFcstM4Y1">#REF!</definedName>
    <definedName name="SalFcstM4Y2">#REF!</definedName>
    <definedName name="SalFcstM5Y1">#REF!</definedName>
    <definedName name="SalFcstM5Y2">#REF!</definedName>
    <definedName name="SalFcstM6Y1">#REF!</definedName>
    <definedName name="SalFcstM6Y2">#REF!</definedName>
    <definedName name="SalFcstM7Y1">#REF!</definedName>
    <definedName name="SalFcstM7Y2">#REF!</definedName>
    <definedName name="SalFcstM8Y1">#REF!</definedName>
    <definedName name="SalFcstM8Y2">#REF!</definedName>
    <definedName name="SalFcstM9Y1">#REF!</definedName>
    <definedName name="SalFcstM9Y2">#REF!</definedName>
    <definedName name="SALFIJO">#REF!</definedName>
    <definedName name="SALGROSS">#REF!</definedName>
    <definedName name="sally" hidden="1">{#N/A,#N/A,FALSE,"Pharm";#N/A,#N/A,FALSE,"WWCM"}</definedName>
    <definedName name="Sals_OT_Allows">#REF!</definedName>
    <definedName name="salv">#REF!</definedName>
    <definedName name="salva">#REF!</definedName>
    <definedName name="Salvage">#REF!</definedName>
    <definedName name="SAM">#REF!</definedName>
    <definedName name="SAMBOH">#N/A</definedName>
    <definedName name="same">#REF!</definedName>
    <definedName name="samedi" hidden="1">{#N/A,#N/A,FALSE,"Tabl. A1";#N/A,#N/A,FALSE,"Tabl. A1 b";#N/A,#N/A,FALSE,"Tabl. A2";#N/A,#N/A,FALSE,"Tabl. A2-1";#N/A,#N/A,FALSE,"Tabl. A2-2"}</definedName>
    <definedName name="SAMEOH">#N/A</definedName>
    <definedName name="SameStoreDollar_Forecast_Total">#REF!</definedName>
    <definedName name="SameStoreDollarOut">#REF!</definedName>
    <definedName name="SameStoreDollarRange">#REF!</definedName>
    <definedName name="SameStorePercentUnit_Forecast_Total">#REF!</definedName>
    <definedName name="SameStoreUnitOut">#REF!</definedName>
    <definedName name="SameStoreUnitRange">#REF!</definedName>
    <definedName name="Sample">#REF!</definedName>
    <definedName name="SAMPLES">#REF!</definedName>
    <definedName name="san" hidden="1">{#N/A,#N/A,FALSE,"Mukesh Shivdasani"}</definedName>
    <definedName name="SANAND" hidden="1">{"'Sheet1'!$A$4386:$N$4591"}</definedName>
    <definedName name="sandblasting">#REF!</definedName>
    <definedName name="sandra" hidden="1">{#N/A,#N/A,FALSE,"SUMARIO";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;#N/A,#N/A,FALSE,"D17";#N/A,#N/A,FALSE,"D18";#N/A,#N/A,FALSE,"D19";#N/A,#N/A,FALSE,"D20";#N/A,#N/A,FALSE,"D21";#N/A,#N/A,FALSE,"D22";#N/A,#N/A,FALSE,"DLLS"}</definedName>
    <definedName name="Sanjay" hidden="1">{#N/A,#N/A,FALSE,"Mukesh Shivdasani"}</definedName>
    <definedName name="sanjeev" hidden="1">{#N/A,#N/A,FALSE,"Aging Summary";#N/A,#N/A,FALSE,"Ratio Analysis";#N/A,#N/A,FALSE,"Test 120 Day Accts";#N/A,#N/A,FALSE,"Tickmarks"}</definedName>
    <definedName name="sanju" hidden="1">{"office ltcg",#N/A,FALSE,"gain01";"IT LTCG",#N/A,FALSE,"gain01"}</definedName>
    <definedName name="santro">#REF!</definedName>
    <definedName name="sap_acc_descr_db">#REF!</definedName>
    <definedName name="SAPBEXbbsBack" hidden="1">"CNES - TRIAL BALANCE.xls"</definedName>
    <definedName name="SAPBEXdnldView" hidden="1">"3VCK7V29XWPKAUM0UMUUC076U"</definedName>
    <definedName name="SAPBEXhrIndnt">1</definedName>
    <definedName name="SAPBEXrevision" hidden="1">3</definedName>
    <definedName name="SAPBEXsysID" hidden="1">"BAP"</definedName>
    <definedName name="SAPBEXwbID" hidden="1">"40BUNZCZTCQHDPD636A8ETFK3"</definedName>
    <definedName name="SAPFuncF4Help" hidden="1">Main.SAPF4Help()</definedName>
    <definedName name="saryder" hidden="1">{#N/A,#N/A,FALSE,"PGW"}</definedName>
    <definedName name="saryder_1" hidden="1">{#N/A,#N/A,FALSE,"PGW"}</definedName>
    <definedName name="saryder_2" hidden="1">{#N/A,#N/A,FALSE,"PGW"}</definedName>
    <definedName name="saryder_3" hidden="1">{#N/A,#N/A,FALSE,"PGW"}</definedName>
    <definedName name="saryder_4" hidden="1">{#N/A,#N/A,FALSE,"PGW"}</definedName>
    <definedName name="sas" hidden="1">{"detail",#N/A,FALSE,"mfg";"summary",#N/A,FALSE,"mfg"}</definedName>
    <definedName name="sasde" hidden="1">{"'BGT2001'!$A$1:$AE$112"}</definedName>
    <definedName name="SATKAR">#REF!</definedName>
    <definedName name="satu">#REF!</definedName>
    <definedName name="SATYA">#REF!</definedName>
    <definedName name="saur" hidden="1">#REF!</definedName>
    <definedName name="saurabh" hidden="1">{"'Mach'!$A$1:$D$39"}</definedName>
    <definedName name="Save_last_week_Data">#N/A</definedName>
    <definedName name="SaveNewFile">#N/A</definedName>
    <definedName name="Savi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avings">#REF!</definedName>
    <definedName name="savings_new">#REF!</definedName>
    <definedName name="SAVIT_M.S.">#REF!</definedName>
    <definedName name="SAVIT_M.S._19">"$#REF!.$#REF!$#REF!:$#REF!$#REF!"</definedName>
    <definedName name="Savitha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B">#REF!</definedName>
    <definedName name="SBD">#REF!</definedName>
    <definedName name="SBU_SUMMARY">#REF!</definedName>
    <definedName name="SC">#REF!</definedName>
    <definedName name="sc_AD">#REF!</definedName>
    <definedName name="SC_Fi">#REF!</definedName>
    <definedName name="SC_I_IV">#REF!</definedName>
    <definedName name="sc10_new">#REF!</definedName>
    <definedName name="sc13_new">#REF!</definedName>
    <definedName name="sc14_new">#REF!</definedName>
    <definedName name="sc6_new">#REF!</definedName>
    <definedName name="sc7_new">#REF!</definedName>
    <definedName name="sc9_new">#REF!</definedName>
    <definedName name="SÇà">#REF!</definedName>
    <definedName name="SCALE">#REF!</definedName>
    <definedName name="sccomments">#N/A</definedName>
    <definedName name="SCCR">#REF!</definedName>
    <definedName name="SCD_DT">OFFSET(#REF!,0,0,COUNTA(#REF!),COUNTA(#REF!))</definedName>
    <definedName name="SCDT">#REF!</definedName>
    <definedName name="scF">#REF!</definedName>
    <definedName name="SCG" hidden="1">{#N/A,#N/A,FALSE,"Tabl. D1";#N/A,#N/A,FALSE,"Tabl. D1 b";#N/A,#N/A,FALSE,"Tabl. D2";#N/A,#N/A,FALSE,"Tabl. D2 b";#N/A,#N/A,FALSE,"Tabl. D3";#N/A,#N/A,FALSE,"Tabl. D4";#N/A,#N/A,FALSE,"Tabl. D5"}</definedName>
    <definedName name="sch">#REF!</definedName>
    <definedName name="SCH_1">#REF!</definedName>
    <definedName name="sch_1_2">#REF!</definedName>
    <definedName name="SCH_12">#REF!</definedName>
    <definedName name="SCH_12_13">#REF!</definedName>
    <definedName name="sch_17a">#REF!</definedName>
    <definedName name="sch_17b">#REF!</definedName>
    <definedName name="sch_17c">#REF!</definedName>
    <definedName name="SCH_2">#REF!</definedName>
    <definedName name="sch_3_4">#REF!</definedName>
    <definedName name="SCH_5">#REF!</definedName>
    <definedName name="SCH_6">#REF!,#REF!</definedName>
    <definedName name="sch_7_8">#REF!</definedName>
    <definedName name="SCH_9_10">#REF!</definedName>
    <definedName name="sch_a">#REF!</definedName>
    <definedName name="Sch_A_B">#REF!</definedName>
    <definedName name="SCH_A_D">#REF!</definedName>
    <definedName name="SCH_AB_Pg3">#REF!</definedName>
    <definedName name="SCH_AD">#REF!</definedName>
    <definedName name="SCH_CD_Pg4">#REF!</definedName>
    <definedName name="Sch_D_E_F">#REF!</definedName>
    <definedName name="SCH_F">#REF!</definedName>
    <definedName name="SCH_F_I">#REF!</definedName>
    <definedName name="SCH_F_Pg5">#REF!</definedName>
    <definedName name="Sch_G">#REF!</definedName>
    <definedName name="SCH_I__III">#REF!</definedName>
    <definedName name="SCH_I_IV">#REF!</definedName>
    <definedName name="Sch_I_J">#REF!</definedName>
    <definedName name="SCH_IV_V">#REF!</definedName>
    <definedName name="SCH_J_K">#REF!</definedName>
    <definedName name="SCH_JK">#REF!</definedName>
    <definedName name="SCH_JK_Pg8">#REF!</definedName>
    <definedName name="Sch_K_L_M">#REF!</definedName>
    <definedName name="sch_key">#N/A</definedName>
    <definedName name="SCH_LM_Pg9">#REF!</definedName>
    <definedName name="Sch_to_Bs">#REF!</definedName>
    <definedName name="sCH_V">#REF!</definedName>
    <definedName name="SCH_VI_VIII">#REF!</definedName>
    <definedName name="SCH_VII">#REF!</definedName>
    <definedName name="SCH_vIII">#REF!</definedName>
    <definedName name="SCH_Z_Grp">#REF!</definedName>
    <definedName name="Sch11to13">#REF!</definedName>
    <definedName name="SCH12131415">#REF!</definedName>
    <definedName name="Sch1to5">#REF!</definedName>
    <definedName name="SCH2FA_2003_BARODA">{#N/A,#N/A,FALSE,"Sheet7"}</definedName>
    <definedName name="Sch6to10">#REF!</definedName>
    <definedName name="SCH7891011">#REF!</definedName>
    <definedName name="SCH7A">#REF!</definedName>
    <definedName name="SCH7B">#REF!</definedName>
    <definedName name="scha">#REF!</definedName>
    <definedName name="schb">#REF!</definedName>
    <definedName name="SCHBS">#REF!</definedName>
    <definedName name="schc">#REF!</definedName>
    <definedName name="schd">#REF!</definedName>
    <definedName name="SCHD_JK">#REF!</definedName>
    <definedName name="schd_mast">#REF!</definedName>
    <definedName name="SCHDULED_V_VII">#REF!</definedName>
    <definedName name="sche">#REF!</definedName>
    <definedName name="sched">#REF!</definedName>
    <definedName name="Sched_A">#REF!</definedName>
    <definedName name="Sched_B">#REF!</definedName>
    <definedName name="Sched_C">#REF!</definedName>
    <definedName name="Sched_Pay">#REF!</definedName>
    <definedName name="SCHEDUL_A_D">#REF!</definedName>
    <definedName name="SCHEDUL_I_IV">#REF!</definedName>
    <definedName name="SCHEDUL_J_K">#REF!</definedName>
    <definedName name="Schedule">#REF!</definedName>
    <definedName name="SCHEDULE____5">#REF!</definedName>
    <definedName name="SCHEDULE___9">#REF!</definedName>
    <definedName name="SCHEDULE_1">#REF!</definedName>
    <definedName name="SCHEDULE_2">#REF!</definedName>
    <definedName name="SCHEDULE_F_I">#REF!</definedName>
    <definedName name="Schedule3">#REF!</definedName>
    <definedName name="schedule3_new">#REF!</definedName>
    <definedName name="schedule96">#REF!</definedName>
    <definedName name="Scheduled_Extra_Payments">#REF!</definedName>
    <definedName name="Scheduled_Interest_Rate">#REF!</definedName>
    <definedName name="Scheduled_Monthly_Payment">#REF!</definedName>
    <definedName name="SCHEDULES">#REF!</definedName>
    <definedName name="Schedules_BS">#REF!</definedName>
    <definedName name="schedules_new">#REF!</definedName>
    <definedName name="Schedules_PL">#REF!</definedName>
    <definedName name="SCHEME">#REF!</definedName>
    <definedName name="schf">#REF!</definedName>
    <definedName name="schg">#REF!</definedName>
    <definedName name="schh">#REF!</definedName>
    <definedName name="schi">#REF!</definedName>
    <definedName name="schj">#REF!</definedName>
    <definedName name="schk">#REF!</definedName>
    <definedName name="schl1">#REF!</definedName>
    <definedName name="schl2">#REF!</definedName>
    <definedName name="schl3">#REF!</definedName>
    <definedName name="scl">#REF!</definedName>
    <definedName name="SCL_mps">#REF!</definedName>
    <definedName name="scndmnthqtr">#REF!</definedName>
    <definedName name="sco_sites">#REF!</definedName>
    <definedName name="score" hidden="1">{"detail",#N/A,FALSE,"mfg";"summary",#N/A,FALSE,"mfg"}</definedName>
    <definedName name="scorecardfy00" hidden="1">{"Comp_of_Price_Effect",#N/A,FALSE,"QTRDPVAR"}</definedName>
    <definedName name="Scrap">#REF!</definedName>
    <definedName name="SCRBOH">#N/A</definedName>
    <definedName name="SCREOH">#N/A</definedName>
    <definedName name="SCV">#REF!</definedName>
    <definedName name="Sd">#N/A</definedName>
    <definedName name="SD?">#REF!</definedName>
    <definedName name="SD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SB">#REF!</definedName>
    <definedName name="sda">#REF!</definedName>
    <definedName name="sda_17">#REF!</definedName>
    <definedName name="sda_4">#REF!</definedName>
    <definedName name="SDAESI">#REF!</definedName>
    <definedName name="sdaf">#REF!</definedName>
    <definedName name="sdaffg" hidden="1">{#N/A,#N/A,FALSE,"QC REVIEW"}</definedName>
    <definedName name="sdafgs" hidden="1">{#N/A,#N/A,FALSE,"Pharm";#N/A,#N/A,FALSE,"WWCM"}</definedName>
    <definedName name="sdas" hidden="1">{"'subnets'!$A$1:$F$20"}</definedName>
    <definedName name="SDASD">#REF!</definedName>
    <definedName name="sdasda" hidden="1">{#N/A,#N/A,FALSE,"QC REVIEW"}</definedName>
    <definedName name="SDASTATE">#REF!</definedName>
    <definedName name="sdata">#REF!</definedName>
    <definedName name="sdbbsdkbfgbsdk.fj" hidden="1">{#N/A,#N/A,FALSE,"PMTABB";#N/A,#N/A,FALSE,"PMTABB"}</definedName>
    <definedName name="SDCS" hidden="1">{#N/A,#N/A,TRUE,"Staffnos &amp; cost"}</definedName>
    <definedName name="sdcsd">#REF!</definedName>
    <definedName name="sdes" hidden="1">{"PACKAGE",#N/A,FALSE,"CM"}</definedName>
    <definedName name="sdf" hidden="1">{"A COM Detail YTD",#N/A,FALSE,"DATA";"B Exp Detail YTD",#N/A,FALSE,"DATA"}</definedName>
    <definedName name="sdfag" hidden="1">{#N/A,#N/A,FALSE,"FREE"}</definedName>
    <definedName name="sdfag_2" hidden="1">{#N/A,#N/A,FALSE,"FREE"}</definedName>
    <definedName name="sdfag_3" hidden="1">{#N/A,#N/A,FALSE,"FREE"}</definedName>
    <definedName name="sdfag_4" hidden="1">{#N/A,#N/A,FALSE,"FREE"}</definedName>
    <definedName name="sdfdfsdf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SDFDGFGG" hidden="1">{"'OBT_6M_30_6'!$S$1:$AE$53"}</definedName>
    <definedName name="sdfdsf" hidden="1">{#N/A,#N/A,FALSE,"KA CH  (2)"}</definedName>
    <definedName name="sdff">#REF!</definedName>
    <definedName name="sdfg">#REF!</definedName>
    <definedName name="sdfh" hidden="1">{#N/A,#N/A,FALSE,"Pharm";#N/A,#N/A,FALSE,"WWCM"}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lsdf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sdfsd">#REF!</definedName>
    <definedName name="sdfsdf" hidden="1">{#N/A,#N/A,FALSE,"QC REVIEW"}</definedName>
    <definedName name="sdfsdfas">#REF!</definedName>
    <definedName name="sdfskdfskdf" hidden="1">{#N/A,#N/A,FALSE,"TOWNSHIP"}</definedName>
    <definedName name="sdfskdfskdf_1" hidden="1">{#N/A,#N/A,FALSE,"TOWNSHIP"}</definedName>
    <definedName name="sdfskdfskdf_2" hidden="1">{#N/A,#N/A,FALSE,"TOWNSHIP"}</definedName>
    <definedName name="sdfskdfskdf_3" hidden="1">{#N/A,#N/A,FALSE,"TOWNSHIP"}</definedName>
    <definedName name="sdfskdfskdf_4" hidden="1">{#N/A,#N/A,FALSE,"TOWNSHIP"}</definedName>
    <definedName name="sdg" hidden="1">{#N/A,#N/A,FALSE,"TOWNSHIP"}</definedName>
    <definedName name="sdg_2" hidden="1">{#N/A,#N/A,FALSE,"TOWNSHIP"}</definedName>
    <definedName name="sdg_3" hidden="1">{#N/A,#N/A,FALSE,"TOWNSHIP"}</definedName>
    <definedName name="sdg_4" hidden="1">{#N/A,#N/A,FALSE,"TOWNSHIP"}</definedName>
    <definedName name="sdgagf" hidden="1">{#N/A,#N/A,FALSE,"Pharm";#N/A,#N/A,FALSE,"WWCM"}</definedName>
    <definedName name="sdgfsdg" hidden="1">{#N/A,#N/A,TRUE,"SCR-LA 2000";#N/A,#N/A,TRUE,"SCR-LA 2001";#N/A,#N/A,TRUE,"SCR-LA 2002";#N/A,#N/A,TRUE,"SCR-LA 2003"}</definedName>
    <definedName name="sdgh" hidden="1">{"qty and inventory value",#N/A,FALSE,"MPartners";"general ledger entries",#N/A,FALSE,"MPartners"}</definedName>
    <definedName name="SDGSDB">#REF!</definedName>
    <definedName name="sdhdhfdfhh" hidden="1">{#N/A,#N/A,FALSE,"Balance Sheet";#N/A,#N/A,FALSE,"Income Statement";#N/A,#N/A,FALSE,"Changes in Financial Position"}</definedName>
    <definedName name="sdjfhdfjkhdsf123">#REF!</definedName>
    <definedName name="SDL">#REF!</definedName>
    <definedName name="sdpl">#REF!</definedName>
    <definedName name="SDPLBS">#REF!</definedName>
    <definedName name="SDPLFA">#REF!</definedName>
    <definedName name="SDPLPL">#REF!</definedName>
    <definedName name="SDR">#REF!</definedName>
    <definedName name="sdrf" hidden="1">{#N/A,#N/A,FALSE,"FREE"}</definedName>
    <definedName name="sdrf_2" hidden="1">{#N/A,#N/A,FALSE,"FREE"}</definedName>
    <definedName name="sdrf_3" hidden="1">{#N/A,#N/A,FALSE,"FREE"}</definedName>
    <definedName name="sdrf_4" hidden="1">{#N/A,#N/A,FALSE,"FREE"}</definedName>
    <definedName name="sdrfse" hidden="1">{#N/A,#N/A,FALSE,"COMP"}</definedName>
    <definedName name="sdrwerwe" hidden="1">#REF!</definedName>
    <definedName name="sds" hidden="1">{"'Sch B'!$B$15:$L$17"}</definedName>
    <definedName name="SDS_Receipt">#REF!</definedName>
    <definedName name="sdsa">#REF!</definedName>
    <definedName name="sdsad" hidden="1">{#N/A,#N/A,FALSE,"QC REVIEW"}</definedName>
    <definedName name="sdsadasd" hidden="1">{#N/A,#N/A,FALSE,"Pharm";#N/A,#N/A,FALSE,"WWCM"}</definedName>
    <definedName name="sdsd" hidden="1">{#N/A,#N/A,FALSE,"REPORT"}</definedName>
    <definedName name="sdsds">#REF!</definedName>
    <definedName name="sdsds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wd">#REF!</definedName>
    <definedName name="se">#REF!</definedName>
    <definedName name="sea" hidden="1">{"oct_res_comm",#N/A,FALSE,"VarToBud"}</definedName>
    <definedName name="Seal_A_C_Tubes_to_Dash_Panel">#REF!</definedName>
    <definedName name="Seal_Heater_Core_to_Case">#REF!</definedName>
    <definedName name="Seal_Htr_Water_Tube">#REF!</definedName>
    <definedName name="searwerwe" hidden="1">#REF!</definedName>
    <definedName name="SEAT">#REF!</definedName>
    <definedName name="seatpro">#REF!</definedName>
    <definedName name="SEATS">#REF!</definedName>
    <definedName name="sec">#REF!</definedName>
    <definedName name="Sec.Loans">#REF!</definedName>
    <definedName name="SEC_CASH_REC">#REF!</definedName>
    <definedName name="sec_deposit">#REF!</definedName>
    <definedName name="SEC_LOAN">#REF!</definedName>
    <definedName name="sec_rec">#REF!</definedName>
    <definedName name="SEC43B_PREV1">#REF!</definedName>
    <definedName name="sec5dec08" hidden="1">{#N/A,#N/A,FALSE,"Aging Summary";#N/A,#N/A,FALSE,"Ratio Analysis";#N/A,#N/A,FALSE,"Test 120 Day Accts";#N/A,#N/A,FALSE,"Tickmarks"}</definedName>
    <definedName name="sec5dec08_1" hidden="1">{#N/A,#N/A,FALSE,"Aging Summary";#N/A,#N/A,FALSE,"Ratio Analysis";#N/A,#N/A,FALSE,"Test 120 Day Accts";#N/A,#N/A,FALSE,"Tickmarks"}</definedName>
    <definedName name="secln">#REF!</definedName>
    <definedName name="SECTEUR">#REF!</definedName>
    <definedName name="section.SheduleTDS2">#REF!</definedName>
    <definedName name="secured">#REF!</definedName>
    <definedName name="secured_loans">#REF!</definedName>
    <definedName name="securities">#REF!</definedName>
    <definedName name="security">#REF!</definedName>
    <definedName name="Security___master">#REF!</definedName>
    <definedName name="SecuritydepositOthers">#REF!</definedName>
    <definedName name="SecurityDeposits">#REF!</definedName>
    <definedName name="SeedCapital">#REF!</definedName>
    <definedName name="seema">#REF!</definedName>
    <definedName name="seg_ae_ex">#REF!</definedName>
    <definedName name="seg_ae_mh">#REF!</definedName>
    <definedName name="seg_ae_mi">#REF!</definedName>
    <definedName name="seg_ae_mlf">#REF!</definedName>
    <definedName name="seg_as_ex">#REF!</definedName>
    <definedName name="seg_as_mh">#REF!</definedName>
    <definedName name="seg_as_mi">#REF!</definedName>
    <definedName name="seg_as_mlf">#REF!</definedName>
    <definedName name="seg_enc_ex">#REF!</definedName>
    <definedName name="seg_enc_mh">#REF!</definedName>
    <definedName name="seg_enc_mi">#REF!</definedName>
    <definedName name="seg_enc_mlf">#REF!</definedName>
    <definedName name="Seg_switch">#REF!</definedName>
    <definedName name="segment_share">#REF!</definedName>
    <definedName name="Segment1">#REF!</definedName>
    <definedName name="Segment2">#REF!</definedName>
    <definedName name="segmentBS">#REF!</definedName>
    <definedName name="SegmentBudget" hidden="1">{"oct_res_comm",#N/A,FALSE,"VarToBud"}</definedName>
    <definedName name="segmentpl">#REF!</definedName>
    <definedName name="Seite01_Schlüsselinformationen">#REF!</definedName>
    <definedName name="Seite02_GuV">#REF!</definedName>
    <definedName name="Seite03_Bilanz">#REF!</definedName>
    <definedName name="Seite04_CashFlow">#REF!</definedName>
    <definedName name="Seite05_Anlagenspiegel">#REF!</definedName>
    <definedName name="Seite06_Umsätze_Extern">#REF!</definedName>
    <definedName name="Seite07_Umsätze_Gruppe">#REF!</definedName>
    <definedName name="Seite08_Umsätze_Material">#REF!</definedName>
    <definedName name="Seite09_Gemeinkosten_Produktion">#REF!</definedName>
    <definedName name="Seite10_Gemeinkosten_Qualität">#REF!</definedName>
    <definedName name="Seite11_Gemeinkosten_Entwicklung">#REF!</definedName>
    <definedName name="Seite12_Gemeinkosten_Vertrieb">#REF!</definedName>
    <definedName name="Seite13_Gemeinkosten_Verwaltung">#REF!</definedName>
    <definedName name="Seite14_Gemeinkosten_Gesamt">#REF!</definedName>
    <definedName name="Seite15_Eingabepositionen">#REF!</definedName>
    <definedName name="SelectFlag">"テキスト 23"</definedName>
    <definedName name="Selection">#REF!</definedName>
    <definedName name="self_ass_tax">#REF!</definedName>
    <definedName name="Seller">#REF!</definedName>
    <definedName name="SELLING_GENERAL___ADMINISTRATIVE_EXPENSES">#REF!</definedName>
    <definedName name="SELLINGPRICE">#REF!</definedName>
    <definedName name="SEMIBL">#REF!</definedName>
    <definedName name="SEMIIN">#N/A</definedName>
    <definedName name="SEMINOI">#REF!</definedName>
    <definedName name="SEMIPL">#REF!</definedName>
    <definedName name="sencount" hidden="1">1</definedName>
    <definedName name="SENIOR1EQ">#REF!</definedName>
    <definedName name="SENIOR1EQ1">#REF!</definedName>
    <definedName name="SENIOR1RATE">#REF!</definedName>
    <definedName name="SENIOR1TERM">#REF!</definedName>
    <definedName name="SENIOR1TERM1">#REF!</definedName>
    <definedName name="SENIOR2EQ">#REF!</definedName>
    <definedName name="SENIOR2RATE">#REF!</definedName>
    <definedName name="SENIOR2RATE1">#REF!</definedName>
    <definedName name="SENIOR2TERM">#REF!</definedName>
    <definedName name="SENIOR2TERM1">#REF!</definedName>
    <definedName name="SENIORRATE1">#REF!</definedName>
    <definedName name="SENIRO2EQ1">#REF!</definedName>
    <definedName name="sensi">#REF!</definedName>
    <definedName name="Sensi1">#REF!</definedName>
    <definedName name="Sensi2">#REF!</definedName>
    <definedName name="Sensi3">#REF!</definedName>
    <definedName name="SENSITIVITY">#REF!</definedName>
    <definedName name="SensoryTotal">#REF!</definedName>
    <definedName name="senthil">#REF!</definedName>
    <definedName name="SEP">#REF!</definedName>
    <definedName name="Separation_Rate">#REF!</definedName>
    <definedName name="sepdata">#REF!</definedName>
    <definedName name="SepEur">#REF!</definedName>
    <definedName name="sepex">#REF!</definedName>
    <definedName name="SEPPLAN">#REF!</definedName>
    <definedName name="seppy">#REF!</definedName>
    <definedName name="SEPSBM">#REF!</definedName>
    <definedName name="SEPT">#REF!</definedName>
    <definedName name="Septembe07">#REF!</definedName>
    <definedName name="september">#REF!</definedName>
    <definedName name="SEPTLTM">#REF!</definedName>
    <definedName name="SepUSD">#REF!</definedName>
    <definedName name="Sertralin">#REF!</definedName>
    <definedName name="SERVICE">#REF!</definedName>
    <definedName name="servicecode">#REF!</definedName>
    <definedName name="servicecode1">#REF!</definedName>
    <definedName name="Servicecodes">#REF!</definedName>
    <definedName name="Services_repairs">#REF!</definedName>
    <definedName name="SERVIZIDIFFERITA">#REF!</definedName>
    <definedName name="SETOFBOOKSID1">#REF!</definedName>
    <definedName name="SETOFBOOKSID2">#REF!</definedName>
    <definedName name="SETOFBOOKSID3">#REF!</definedName>
    <definedName name="SETOFBOOKSNAME1">#REF!</definedName>
    <definedName name="SETOFBOOKSNAME2">#REF!</definedName>
    <definedName name="SETOFBOOKSNAME3">#REF!</definedName>
    <definedName name="Settlements" hidden="1">{"Short Stage 1",#N/A,FALSE,"Stage 1";"Short Stage 2",#N/A,FALSE,"Stage 2";"Short Stage 3",#N/A,FALSE,"Stage 3";"Short Stage 4",#N/A,FALSE,"Stage 4";"Short Stage 5",#N/A,FALSE,"Stage 5";"Short Stage 6",#N/A,FALSE,"Stage 6";"Short Stage 7",#N/A,FALSE,"Stage 7"}</definedName>
    <definedName name="Setup">#REF!</definedName>
    <definedName name="sety" hidden="1">{"LAPO2N2",#N/A,FALSE,"CM"}</definedName>
    <definedName name="SEV">#REF!</definedName>
    <definedName name="SEWT価格一覧">#REF!</definedName>
    <definedName name="SEWT単価表">#REF!</definedName>
    <definedName name="SEXO">#REF!</definedName>
    <definedName name="SEZA10.DedFromUndertaking">#REF!</definedName>
    <definedName name="SEZA10.TotalDedUs10Sub">#REF!</definedName>
    <definedName name="sf" hidden="1">{#N/A,#N/A,FALSE,"Sales Graph";#N/A,#N/A,FALSE,"BUC Graph";#N/A,#N/A,FALSE,"P&amp;L - YTD"}</definedName>
    <definedName name="sf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asdfs">#REF!</definedName>
    <definedName name="sfbs">#REF!</definedName>
    <definedName name="sfdg">#REF!</definedName>
    <definedName name="SFDGD">#REF!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irect" hidden="1">{#N/A,#N/A,FALSE,"REPORT"}</definedName>
    <definedName name="sfehoiew\">#REF!</definedName>
    <definedName name="sfesfrwer" hidden="1">#REF!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v" hidden="1">{"consolidated",#N/A,FALSE,"Sheet1";"cms",#N/A,FALSE,"Sheet1";"fse",#N/A,FALSE,"Sheet1"}</definedName>
    <definedName name="sFormat">#REF!</definedName>
    <definedName name="sfq" hidden="1">{#N/A,#N/A,FALSE,"Calc";#N/A,#N/A,FALSE,"Sensitivity";#N/A,#N/A,FALSE,"LT Earn.Dil.";#N/A,#N/A,FALSE,"Dil. AVP"}</definedName>
    <definedName name="sFreq">#REF!</definedName>
    <definedName name="sfsf" hidden="1">{#N/A,#N/A,FALSE,"Calc";#N/A,#N/A,FALSE,"Sensitivity";#N/A,#N/A,FALSE,"LT Earn.Dil.";#N/A,#N/A,FALSE,"Dil. AVP"}</definedName>
    <definedName name="sfsfs">+#REF!+#REF!+#REF!+#REF!+#REF!+#REF!+#REF!+#REF!+#REF!+#REF!+#REF!+#REF!+#REF!+#REF!+#REF!+#REF!+#REF!+#REF!+#REF!+#REF!+#REF!+#REF!+#REF!+#REF!+#REF!+#REF!+#REF!+#REF!</definedName>
    <definedName name="sfsfsfsf">#REF!</definedName>
    <definedName name="sg" hidden="1">{"'BGT2001'!$A$1:$AE$112"}</definedName>
    <definedName name="sgd" hidden="1">{#N/A,#N/A,FALSE,"Calc";#N/A,#N/A,FALSE,"Sensitivity";#N/A,#N/A,FALSE,"LT Earn.Dil.";#N/A,#N/A,FALSE,"Dil. AVP"}</definedName>
    <definedName name="sgddfg" hidden="1">{#N/A,#N/A,FALSE,"PMTABB";#N/A,#N/A,FALSE,"PMTABB"}</definedName>
    <definedName name="sgddfg_2" hidden="1">{#N/A,#N/A,FALSE,"PMTABB";#N/A,#N/A,FALSE,"PMTABB"}</definedName>
    <definedName name="sgddfg_3" hidden="1">{#N/A,#N/A,FALSE,"PMTABB";#N/A,#N/A,FALSE,"PMTABB"}</definedName>
    <definedName name="sgddfg_4" hidden="1">{#N/A,#N/A,FALSE,"PMTABB";#N/A,#N/A,FALSE,"PMTABB"}</definedName>
    <definedName name="sgdg" hidden="1">{#N/A,#N/A,FALSE,"Calc";#N/A,#N/A,FALSE,"Sensitivity";#N/A,#N/A,FALSE,"LT Earn.Dil.";#N/A,#N/A,FALSE,"Dil. AVP"}</definedName>
    <definedName name="SGH">#REF!</definedName>
    <definedName name="Sgmsbacklog20July">#REF!</definedName>
    <definedName name="SGQERVY">#REF!</definedName>
    <definedName name="sgsdfgsd" hidden="1">{#N/A,#N/A,TRUE,"SCR-LA 2000";#N/A,#N/A,TRUE,"SCR-LA 2001";#N/A,#N/A,TRUE,"SCR-LA 2002";#N/A,#N/A,TRUE,"SCR-LA 2003"}</definedName>
    <definedName name="sgsx" hidden="1">{"consolidated",#N/A,FALSE,"Sheet1";"cms",#N/A,FALSE,"Sheet1";"fse",#N/A,FALSE,"Sheet1"}</definedName>
    <definedName name="SH" hidden="1">{"'Jan-02'!$F$46:$F$47","'Jan-02'!$F$46:$F$47"}</definedName>
    <definedName name="shaa">#REF!</definedName>
    <definedName name="shakun">#REF!</definedName>
    <definedName name="sham123">#REF!</definedName>
    <definedName name="shankar" hidden="1">{#N/A,#N/A,FALSE,"COMICRO";#N/A,#N/A,FALSE,"BALSCH";#N/A,#N/A,FALSE,"GLASS";#N/A,#N/A,FALSE,"DEPRE";#N/A,#N/A,FALSE,"A&amp;MCUR";#N/A,#N/A,FALSE,"AGEANAlysis";#N/A,#N/A,FALSE,"CHECKS";#N/A,#N/A,FALSE,"CHECKS"}</definedName>
    <definedName name="shanti">#REF!</definedName>
    <definedName name="shanti1">#REF!</definedName>
    <definedName name="share_activity">#REF!</definedName>
    <definedName name="SHARE_APPLICATION_MONEY">#REF!</definedName>
    <definedName name="SHARE_CAPITAL">#REF!</definedName>
    <definedName name="share_capital_adj">#REF!</definedName>
    <definedName name="ShareCapital">#REF!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#N/A</definedName>
    <definedName name="SHARED_FORMULA_80">#N/A</definedName>
    <definedName name="SHARED_FORMULA_9">#N/A</definedName>
    <definedName name="SHAREHOLDERSEQUITY">#REF!</definedName>
    <definedName name="SHARES.OUTSTANDING">#REF!</definedName>
    <definedName name="shcap">#REF!</definedName>
    <definedName name="shdfs">#REF!</definedName>
    <definedName name="sheet">#REF!</definedName>
    <definedName name="sheet_17">#REF!</definedName>
    <definedName name="sheet_4">#REF!</definedName>
    <definedName name="sheet_I">#REF!</definedName>
    <definedName name="Sheet_II">#REF!</definedName>
    <definedName name="Sheet1">#REF!</definedName>
    <definedName name="Sheet10">#REF!</definedName>
    <definedName name="Sheet11">#REF!</definedName>
    <definedName name="sheet11.AdjustedPLOthThanSpecBus">#REF!</definedName>
    <definedName name="sheet11.AdjustPLAfterDeprOthSpecInc">#REF!</definedName>
    <definedName name="sheet11.AmtAllowUs35ACt">#REF!</definedName>
    <definedName name="sheet11.BalancePLOthThanSpecBus">#REF!</definedName>
    <definedName name="sheet11.DebPL35ACAmt">#REF!</definedName>
    <definedName name="sheet11.DepreciationDebPLCosAct">#REF!</definedName>
    <definedName name="sheet11.ExpDebToPLExemptInc">#REF!</definedName>
    <definedName name="sheet11.ExpDebToPLOthHeads">#REF!</definedName>
    <definedName name="sheet11.PLAftAdjDedBusOthThanSpec">#REF!</definedName>
    <definedName name="sheet11.TotAfterAddToPLDeprOthSpecInc">#REF!</definedName>
    <definedName name="sheet11.TotDeductionAmts">#REF!</definedName>
    <definedName name="sheet11.TotDeprAllowITAct">#REF!</definedName>
    <definedName name="sheet11.TotExpDebPL">#REF!</definedName>
    <definedName name="Sheet12">#REF!</definedName>
    <definedName name="sheet12.AdditionUs28to44DA">#REF!</definedName>
    <definedName name="sheet12.AdjustedPLFrmSpecuBus">#REF!</definedName>
    <definedName name="sheet12.DeductUs28to44DA">#REF!</definedName>
    <definedName name="sheet12.NetPLBusOthThanSpec7A7B7C">#REF!</definedName>
    <definedName name="sheet12.NetPLFrmSpecBus">#REF!</definedName>
    <definedName name="sheet12.ProfitLossBfrDeductUs10s">#REF!</definedName>
    <definedName name="sheet12.TotDeductionUs10s">#REF!</definedName>
    <definedName name="sheet12.TotDeemedProfitBusUs">#REF!</definedName>
    <definedName name="sheet16.BalBusLossAftSetoff">#REF!</definedName>
    <definedName name="sheet16.BalHPlossCurYrAftSetoff">#REF!</definedName>
    <definedName name="sheet16.TotBusLossSetoff">#REF!</definedName>
    <definedName name="sheet16.TotHPlossCurYrSetoff">#REF!</definedName>
    <definedName name="sheet16.TotOthSrcLossNoRaceHorseSetoff">#REF!</definedName>
    <definedName name="Sheet2">#REF!</definedName>
    <definedName name="sheet22.AccountType">#REF!</definedName>
    <definedName name="sheet22.YesNo">#REF!</definedName>
    <definedName name="Sheet3">#REF!</definedName>
    <definedName name="Sheet4" hidden="1">{#N/A,#N/A,FALSE,"BS"}</definedName>
    <definedName name="Sheet5">#REF!</definedName>
    <definedName name="Sheet6">#REF!</definedName>
    <definedName name="Sheet7">#REF!</definedName>
    <definedName name="Sheet8">#REF!</definedName>
    <definedName name="sheet8b.CurrentYearLoss">#REF!</definedName>
    <definedName name="sheet8b.DeductionsUnderScheduleVIA">#REF!</definedName>
    <definedName name="sheet8b.GrossTotalIncome">#REF!</definedName>
    <definedName name="sheet8b.IncomeFromHP">#REF!</definedName>
    <definedName name="sheet8b.LongTerm">#REF!</definedName>
    <definedName name="sheet8b.TotalCapGains">#REF!</definedName>
    <definedName name="sheet8b.TotalShortTerm">#REF!</definedName>
    <definedName name="sheet8b.TotalTI">#REF!</definedName>
    <definedName name="sheet8b.TotIncFromOS">#REF!</definedName>
    <definedName name="sheet8b.TotProfBusGain">#REF!</definedName>
    <definedName name="Sheet9">#REF!</definedName>
    <definedName name="sheet9.AggregateTaxInterestLiability">#REF!</definedName>
    <definedName name="sheet9.GrossTaxLiability">#REF!</definedName>
    <definedName name="sheet9.NetTaxLiability">#REF!</definedName>
    <definedName name="sheet9.TotalIntrstPay">#REF!</definedName>
    <definedName name="sheet9.TotalTaxesPaid">#REF!</definedName>
    <definedName name="sheet9.TotTaxRelief">#REF!</definedName>
    <definedName name="SHIPRA">#REF!</definedName>
    <definedName name="shiva">#REF!</definedName>
    <definedName name="shiva_16">#REF!</definedName>
    <definedName name="shiva_17">#REF!</definedName>
    <definedName name="shiva_4">#REF!</definedName>
    <definedName name="shld1">#REF!</definedName>
    <definedName name="shld10">#REF!</definedName>
    <definedName name="shld11">#REF!</definedName>
    <definedName name="shld12">#REF!</definedName>
    <definedName name="shld13">#REF!</definedName>
    <definedName name="shld14">#REF!</definedName>
    <definedName name="shld15">#REF!</definedName>
    <definedName name="shld16">#REF!</definedName>
    <definedName name="shld17">#REF!</definedName>
    <definedName name="shld18">#REF!</definedName>
    <definedName name="shld2">#REF!</definedName>
    <definedName name="Shld3">#REF!</definedName>
    <definedName name="shld4">#REF!</definedName>
    <definedName name="shld5">#REF!</definedName>
    <definedName name="shld6">#REF!</definedName>
    <definedName name="shld7">#REF!</definedName>
    <definedName name="shld8">#REF!</definedName>
    <definedName name="shld9">#REF!</definedName>
    <definedName name="sho">#REF!</definedName>
    <definedName name="SHOOT" hidden="1">{#N/A,#N/A,FALSE,"SUMARIO";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;#N/A,#N/A,FALSE,"D17";#N/A,#N/A,FALSE,"D18";#N/A,#N/A,FALSE,"D19";#N/A,#N/A,FALSE,"D20";#N/A,#N/A,FALSE,"D21";#N/A,#N/A,FALSE,"D22";#N/A,#N/A,FALSE,"DLLS"}</definedName>
    <definedName name="short" hidden="1">{#N/A,#N/A,FALSE,"COVER1.XLS ";#N/A,#N/A,FALSE,"RACT1.XLS";#N/A,#N/A,FALSE,"RACT2.XLS";#N/A,#N/A,FALSE,"ECCMP";#N/A,#N/A,FALSE,"WELDER.XLS"}</definedName>
    <definedName name="Shorten_Compensation_Planning_Cycle_time_for_Compensation_Group">#REF!</definedName>
    <definedName name="SHORTS">#REF!</definedName>
    <definedName name="ShortTermLoan">#REF!</definedName>
    <definedName name="Show.Acct.Update.Warning" hidden="1">#REF!</definedName>
    <definedName name="Show.MDB.Update.Warning" hidden="1">#REF!</definedName>
    <definedName name="ShowDetails">#REF!</definedName>
    <definedName name="ShowSAP">#N/A</definedName>
    <definedName name="shr">#REF!</definedName>
    <definedName name="Shriya">#REF!</definedName>
    <definedName name="SHRS">#REF!</definedName>
    <definedName name="shs">#REF!</definedName>
    <definedName name="SHT">#REF!</definedName>
    <definedName name="SHT_16">#REF!</definedName>
    <definedName name="SHT_17">#REF!</definedName>
    <definedName name="SHT_4">#REF!</definedName>
    <definedName name="SHTK">#REF!</definedName>
    <definedName name="shubha">#REF!</definedName>
    <definedName name="SHY">#REF!</definedName>
    <definedName name="SI" hidden="1">{"'subnets'!$A$1:$F$20"}</definedName>
    <definedName name="SI.SplRateIncTax">#REF!</definedName>
    <definedName name="si_ref">#REF!</definedName>
    <definedName name="SIAL1106">#N/A</definedName>
    <definedName name="siannpay">#REF!</definedName>
    <definedName name="SIDDHESH">#REF!</definedName>
    <definedName name="SIG_CONTROLE" hidden="1">#REF!</definedName>
    <definedName name="SIG_DERNIERECOLONNE" hidden="1">#REF!</definedName>
    <definedName name="SIG_EFFECTV_firstLine" hidden="1">#REF!</definedName>
    <definedName name="SIG_EFFECTV_H001" hidden="1">#REF!</definedName>
    <definedName name="SIG_EFFECTV_H002" hidden="1">#REF!</definedName>
    <definedName name="SIG_EFFECTV_H003" hidden="1">#REF!</definedName>
    <definedName name="SIG_EFFECTV_H004" hidden="1">#REF!</definedName>
    <definedName name="SIG_EFFECTV_H005" hidden="1">#REF!</definedName>
    <definedName name="SIG_EFFECTV_H006" hidden="1">#REF!</definedName>
    <definedName name="SIG_EFFECTV_H007" hidden="1">#REF!</definedName>
    <definedName name="SIG_EFFECTV_H008" hidden="1">#REF!</definedName>
    <definedName name="SIG_EFFECTV_H009" hidden="1">#REF!</definedName>
    <definedName name="SIG_EFFECTV_H010" hidden="1">#REF!</definedName>
    <definedName name="SIG_EFFECTV_H011" hidden="1">#REF!</definedName>
    <definedName name="SIG_EFFECTV_H012" hidden="1">#REF!</definedName>
    <definedName name="SIG_EFFECTV_IsControlOK" hidden="1">#REF!</definedName>
    <definedName name="SIG_EFFECTV_lastLine" hidden="1">#REF!</definedName>
    <definedName name="SIG_EFFECTV_TITLELINE" hidden="1">#REF!</definedName>
    <definedName name="SIG_ENTETE1_H049">#REF!</definedName>
    <definedName name="SIG_ENTETE1_H050">#REF!</definedName>
    <definedName name="SIG_ENTETE1_H063">#REF!</definedName>
    <definedName name="SIG_ENTETE1_H064">#REF!</definedName>
    <definedName name="SIG_ENTETE1_H065">#REF!</definedName>
    <definedName name="SIG_ENTETE1_H066">#REF!</definedName>
    <definedName name="SIG_ENTETE1_H067">#REF!</definedName>
    <definedName name="SIG_ENTETE1_H092">#REF!</definedName>
    <definedName name="SIG_ENTETE1_H095">#REF!</definedName>
    <definedName name="SIG_ENTETE1_H096">#REF!</definedName>
    <definedName name="SIG_ENTETE1_H097">#REF!</definedName>
    <definedName name="SIG_ENTETE1_H098">#REF!</definedName>
    <definedName name="SIG_ENTETE3_H041">#REF!</definedName>
    <definedName name="SIG_ENTETE3_H042">#REF!</definedName>
    <definedName name="SIG_ENTETE3_H045">#REF!</definedName>
    <definedName name="SIG_PTBD_EFFECTV" hidden="1">#REF!</definedName>
    <definedName name="SIG_PTHG_EFFECTV" hidden="1">#REF!</definedName>
    <definedName name="sihrpay">#REF!</definedName>
    <definedName name="SIL">#REF!</definedName>
    <definedName name="Siliguri">#REF!</definedName>
    <definedName name="sim">#REF!</definedName>
    <definedName name="SIMRAN" hidden="1">#REF!</definedName>
    <definedName name="Simvastatin">#REF!</definedName>
    <definedName name="SIN" hidden="1">{#N/A,#N/A,FALSE,"CKD Price Build Up"}</definedName>
    <definedName name="single">#REF!</definedName>
    <definedName name="single_month">#REF!</definedName>
    <definedName name="siotpr">#REF!</definedName>
    <definedName name="SIR">#REF!</definedName>
    <definedName name="SITE">#REF!</definedName>
    <definedName name="SiteName">#REF!</definedName>
    <definedName name="SITEVIS">#REF!</definedName>
    <definedName name="Six">#REF!</definedName>
    <definedName name="Sixty_From">#REF!</definedName>
    <definedName name="Sixty_to">#REF!</definedName>
    <definedName name="SIZE">#REF!</definedName>
    <definedName name="SizingColumn">#REF!</definedName>
    <definedName name="sj" hidden="1">{"'debtors'!$A$1:$I$305","'debtors'!$A$1:$J$285"}</definedName>
    <definedName name="sjsth" hidden="1">{#N/A,#N/A,TRUE,"SCR-LA 2001";#N/A,#N/A,TRUE,"2001 TOTAL";#N/A,#N/A,TRUE,"2001 Puerto Rico";#N/A,#N/A,TRUE,"2001 Argentina";#N/A,#N/A,TRUE,"2001 Brazil";#N/A,#N/A,TRUE,"2001 Venezuela";#N/A,#N/A,TRUE,"2001 Chile";#N/A,#N/A,TRUE,"2001 Other Latin America"}</definedName>
    <definedName name="sk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k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c">#REF!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fh_2" hidden="1">{#N/A,#N/A,FALSE,"Assumptions";#N/A,#N/A,FALSE,"Volumes";#N/A,#N/A,FALSE,"Pricing";#N/A,#N/A,FALSE,"Variable Cost";#N/A,#N/A,FALSE,"Investment";#N/A,#N/A,FALSE,"Profitability";#N/A,#N/A,FALSE,"Business Comparison"}</definedName>
    <definedName name="skdjfh1" hidden="1">{#N/A,#N/A,FALSE,"Assumptions";#N/A,#N/A,FALSE,"Volumes";#N/A,#N/A,FALSE,"Pricing";#N/A,#N/A,FALSE,"Variable Cost";#N/A,#N/A,FALSE,"Investment";#N/A,#N/A,FALSE,"Profitability";#N/A,#N/A,FALSE,"Business Comparison"}</definedName>
    <definedName name="skdjfh1_2" hidden="1">{#N/A,#N/A,FALSE,"Assumptions";#N/A,#N/A,FALSE,"Volumes";#N/A,#N/A,FALSE,"Pricing";#N/A,#N/A,FALSE,"Variable Cost";#N/A,#N/A,FALSE,"Investment";#N/A,#N/A,FALSE,"Profitability";#N/A,#N/A,FALSE,"Business Comparison"}</definedName>
    <definedName name="SKFK">#REF!</definedName>
    <definedName name="SKL">#REF!</definedName>
    <definedName name="SKLL">#REF!</definedName>
    <definedName name="SKN">#REF!</definedName>
    <definedName name="skp">#REF!</definedName>
    <definedName name="sk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R">#REF!</definedName>
    <definedName name="skyz">#REF!</definedName>
    <definedName name="skyzfr">#REF!</definedName>
    <definedName name="skyzshare">#REF!</definedName>
    <definedName name="sl">#REF!</definedName>
    <definedName name="SL_BANK_Foreign_Bills">#REF!</definedName>
    <definedName name="SL_BANK_Hyp_Leased_Assets">#REF!</definedName>
    <definedName name="SL_BANK_Packing_Credit">#REF!</definedName>
    <definedName name="SL_DEB_Banks">#REF!</definedName>
    <definedName name="SL_DEB_Others">#REF!</definedName>
    <definedName name="SL_TERM_Banks">#REF!</definedName>
    <definedName name="SL_TERM_FIN_INST">#REF!</definedName>
    <definedName name="SL_TERM_Others">#REF!</definedName>
    <definedName name="SLC">#REF!</definedName>
    <definedName name="slk">#REF!</definedName>
    <definedName name="sll">#REF!</definedName>
    <definedName name="SlopeWI">3.8</definedName>
    <definedName name="SLR">#REF!</definedName>
    <definedName name="SLS">#REF!</definedName>
    <definedName name="SLVNG">#REF!</definedName>
    <definedName name="sm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mart_Chart_Data_Table_0713b5ded22149849ed94020e66f2c08">#REF!</definedName>
    <definedName name="Smart_Chart_Data_Table_08343dabc0204d29a9fc3c64fb349cc5">#REF!</definedName>
    <definedName name="Smart_Chart_Data_Table_0a3af766c5984856894cfb2b39b36364">#REF!</definedName>
    <definedName name="Smart_Chart_Data_Table_0bdee2e6101342a886cfae34e4ecc087">#REF!</definedName>
    <definedName name="Smart_Chart_Data_Table_0f9eabda54264bbaa0fd1a5af1251165">#REF!</definedName>
    <definedName name="Smart_Chart_Data_Table_0fa0d496488544e191b6e5a4a8e9f12d">#REF!</definedName>
    <definedName name="Smart_Chart_Data_Table_118dcbbe094b466a839f866c3a3ad1d7">#REF!</definedName>
    <definedName name="Smart_Chart_Data_Table_157bbc50c64e497f9a97dfb8124c3ca7">#REF!</definedName>
    <definedName name="Smart_Chart_Data_Table_16e73a052f4e4bbbb998f25fb7a332d3">#REF!</definedName>
    <definedName name="Smart_Chart_Data_Table_19e0c5ae16ad4c0c8a417dc6e339674b">#REF!</definedName>
    <definedName name="Smart_Chart_Data_Table_1b426121bf5a44c586ac97edefe76ed5">#REF!</definedName>
    <definedName name="Smart_Chart_Data_Table_1d6ded75ff0947cf9d690eace94f37c4">#REF!</definedName>
    <definedName name="Smart_Chart_Data_Table_1f2db578307e4ce8a05cf42f877e2142">#REF!</definedName>
    <definedName name="Smart_Chart_Data_Table_1fb3cb0401b747919c32426078f101ba">#REF!</definedName>
    <definedName name="Smart_Chart_Data_Table_2272195509c849189cf144e5a48db491">#REF!</definedName>
    <definedName name="Smart_Chart_Data_Table_233f5348b1f249138eec9f27755a9def">#REF!</definedName>
    <definedName name="Smart_Chart_Data_Table_247ae4620ddf41e0b8500d0f4ae1cd42">#REF!</definedName>
    <definedName name="Smart_Chart_Data_Table_24ba8575509e476da0bb747eb9c6b405">#REF!</definedName>
    <definedName name="Smart_Chart_Data_Table_27959d3c38d94004a6280d96f8014085">#REF!</definedName>
    <definedName name="Smart_Chart_Data_Table_280d7e183bde49039d8c19861005f367">#REF!</definedName>
    <definedName name="Smart_Chart_Data_Table_2a04e718518d4fd08ceef732a5c42188">#REF!</definedName>
    <definedName name="Smart_Chart_Data_Table_2f15d179954b47018adb015180b80aab">#REF!</definedName>
    <definedName name="Smart_Chart_Data_Table_30a1bc8281394012bcf2fd4bd739cb51">#REF!</definedName>
    <definedName name="Smart_Chart_Data_Table_3208e10fa0f2458483a9cdd1efef4bcb">#REF!</definedName>
    <definedName name="Smart_Chart_Data_Table_337f3fc1c4c4492db89402ddf72e7ada">#REF!</definedName>
    <definedName name="Smart_Chart_Data_Table_33d7be390806402498a219d35ba63eba">#REF!</definedName>
    <definedName name="Smart_Chart_Data_Table_36c9d2e3d44c4a74b6eddfb6658d3e80">#REF!</definedName>
    <definedName name="Smart_Chart_Data_Table_37aff1ad8a8a485da67ac3de069bdf5f">#REF!</definedName>
    <definedName name="Smart_Chart_Data_Table_3a1998cee0d3443e9fde37b520a91d1c">#REF!</definedName>
    <definedName name="Smart_Chart_Data_Table_3b0d7eea226a4bf996458d83f6de1350">#REF!</definedName>
    <definedName name="Smart_Chart_Data_Table_3de8ca7c7d7b444bb9c854e83ac021b8">#REF!</definedName>
    <definedName name="Smart_Chart_Data_Table_4158dc42fe174a659b4155c3d4fb7915">#REF!</definedName>
    <definedName name="Smart_Chart_Data_Table_4390f0bf44c345978f5488871c119032">#REF!</definedName>
    <definedName name="Smart_Chart_Data_Table_450fc3b0bf464c05aaa0fe1cdd658d96">#REF!</definedName>
    <definedName name="Smart_Chart_Data_Table_45606df15c8440dfae8615580bb9aba5">#REF!</definedName>
    <definedName name="Smart_Chart_Data_Table_480ed3148fcd41688cf75a9ae735f4a0">#REF!</definedName>
    <definedName name="Smart_Chart_Data_Table_4a0e7de00ad148db82a4710187ee6597">#REF!</definedName>
    <definedName name="Smart_Chart_Data_Table_4f9c95e11fb9465da15cb237b6cbcf84">#REF!</definedName>
    <definedName name="Smart_Chart_Data_Table_529307e5294244e9a569f7264121dd34">#REF!</definedName>
    <definedName name="Smart_Chart_Data_Table_54376229ccb74b16bbb4622bd0aa27b5">#REF!</definedName>
    <definedName name="Smart_Chart_Data_Table_551ec697368b4fdf9ffff917617224e6">#REF!</definedName>
    <definedName name="Smart_Chart_Data_Table_575e1a6530ba46f79e2c2156051cfdfa">#REF!</definedName>
    <definedName name="Smart_Chart_Data_Table_58603d134535408fba214b5193a533d3">#REF!</definedName>
    <definedName name="Smart_Chart_Data_Table_5a57f35c67354b9c8788cc9883ab00ca">#REF!</definedName>
    <definedName name="Smart_Chart_Data_Table_5b425d371fa8443096208c453424df23">#REF!</definedName>
    <definedName name="Smart_Chart_Data_Table_5fadb9e0540e4adebf9f82fa7cdc7dc5">#REF!</definedName>
    <definedName name="Smart_Chart_Data_Table_6022e42bf40c4d9badea3b1a373db517">#REF!</definedName>
    <definedName name="Smart_Chart_Data_Table_63a3ee9f81d3422db0e7f8403b224630">#REF!</definedName>
    <definedName name="Smart_Chart_Data_Table_679f71ed74d04a88b779f5b3ef9e6cab">#REF!</definedName>
    <definedName name="Smart_Chart_Data_Table_68681cb8e74f4c289def5980f9417914">#REF!</definedName>
    <definedName name="Smart_Chart_Data_Table_6b30e2633de5495084edb586055f49c1">#REF!</definedName>
    <definedName name="Smart_Chart_Data_Table_6da7abc3a1394a12884cf975d6133702">#REF!</definedName>
    <definedName name="Smart_Chart_Data_Table_71051e6a3f0643ea897ec0806f5df8af">#REF!</definedName>
    <definedName name="Smart_Chart_Data_Table_76ef7a053f7a458ea7dd234f27e9c9d7">#REF!</definedName>
    <definedName name="Smart_Chart_Data_Table_7a1fe44a4ec14400a7bd8a4ea93d03d5">#REF!</definedName>
    <definedName name="Smart_Chart_Data_Table_7ca6623949f04cada21b76a1a90d96ba">#REF!</definedName>
    <definedName name="Smart_Chart_Data_Table_7cdeae72aa8f46fe98c5531bb7df4f4d">#REF!</definedName>
    <definedName name="Smart_Chart_Data_Table_7e8e5d69cadd42808fc646250058f568">#REF!</definedName>
    <definedName name="Smart_Chart_Data_Table_7f6b933e8d03408bbfc1ac40b88724d7">#REF!</definedName>
    <definedName name="Smart_Chart_Data_Table_8046df1dc3874501a3709005320ade5f">#REF!</definedName>
    <definedName name="Smart_Chart_Data_Table_8105ef5de48e4a808193e8a001a24d29">#REF!</definedName>
    <definedName name="Smart_Chart_Data_Table_82e64573a68346dbbfc6e811f1cd2ed1">#REF!</definedName>
    <definedName name="Smart_Chart_Data_Table_888aa14a97584ff7b7eb5488603c5654">#REF!</definedName>
    <definedName name="Smart_Chart_Data_Table_8f474b9c78df4a2b908921c6351439f7">#REF!</definedName>
    <definedName name="Smart_Chart_Data_Table_926a55b1d084417dbd52c25a026fab85">#REF!</definedName>
    <definedName name="Smart_Chart_Data_Table_9544fe9281a24714a576e9564cc2575e">#REF!</definedName>
    <definedName name="Smart_Chart_Data_Table_957e23ed06ec496fb780badca192a0f8">#REF!</definedName>
    <definedName name="Smart_Chart_Data_Table_9b8fd15f39f640fa9baa0ae2063b0535">#REF!</definedName>
    <definedName name="Smart_Chart_Data_Table_9db506885ed744759a127fe7f855a821">#REF!</definedName>
    <definedName name="Smart_Chart_Data_Table_9e60b9e3321f4557a51286bcb3ba5802">#REF!</definedName>
    <definedName name="Smart_Chart_Data_Table_a1829562646d4068afe4d44233010281">#REF!</definedName>
    <definedName name="Smart_Chart_Data_Table_a1e09644f694449a8a75150dfb609c91">#REF!</definedName>
    <definedName name="Smart_Chart_Data_Table_a2637fd2a2d7482fb3b2d2382177a98c">#REF!</definedName>
    <definedName name="Smart_Chart_Data_Table_a271f68030ec4048b991cf27cd81b666">#REF!</definedName>
    <definedName name="Smart_Chart_Data_Table_a374fd78c72a448eaa49cb418259352a">#REF!</definedName>
    <definedName name="Smart_Chart_Data_Table_a4b6c2d5326f4061b4053dd59743f854">#REF!</definedName>
    <definedName name="Smart_Chart_Data_Table_a8a6792fd302414fabeef1a0a037140b">#REF!</definedName>
    <definedName name="Smart_Chart_Data_Table_a93107f6e2b7433da5bc478ec2108c2f">#REF!</definedName>
    <definedName name="Smart_Chart_Data_Table_aa62efd97097474493237bee215ed754">#REF!</definedName>
    <definedName name="Smart_Chart_Data_Table_aab5304c0cab4c4faee944d62e960b0e">#REF!</definedName>
    <definedName name="Smart_Chart_Data_Table_af4afd1e807047a3ae94bfb7fa022ecc">#REF!</definedName>
    <definedName name="Smart_Chart_Data_Table_b0e77ed4cdc948f1af77553e4419643a">#REF!</definedName>
    <definedName name="Smart_Chart_Data_Table_b2ee3ba2ffd142b4ac464aab3c84a089">#REF!</definedName>
    <definedName name="Smart_Chart_Data_Table_b6c12ab9606d4a0da7a72adf7ec62718">#REF!</definedName>
    <definedName name="Smart_Chart_Data_Table_bbaf8bca7e524c5f94df67b7d9de69c8">#REF!</definedName>
    <definedName name="Smart_Chart_Data_Table_bc338ae4f2a44870af2015c704c6982c">#REF!</definedName>
    <definedName name="Smart_Chart_Data_Table_bcb70734420540ca8a0fda7c78da43bf">#REF!</definedName>
    <definedName name="Smart_Chart_Data_Table_c057872b1fd34283893e106e86e03046">#REF!</definedName>
    <definedName name="Smart_Chart_Data_Table_c1802045827d49dfaf22c5e581e6ce43">#REF!</definedName>
    <definedName name="Smart_Chart_Data_Table_c1e4daa438e642fd9dc594a3cbba1ee0">#REF!</definedName>
    <definedName name="Smart_Chart_Data_Table_c4ed8c3243b74efdbf93a55d5c0c600d">#REF!</definedName>
    <definedName name="Smart_Chart_Data_Table_c77d393a334149ada82e7fedc73eec87">#REF!</definedName>
    <definedName name="Smart_Chart_Data_Table_c7972275696243ac8ae01d9cfd8dee61">#REF!</definedName>
    <definedName name="Smart_Chart_Data_Table_ca5e249737ec4384a1a16a8e5d2c4e3c">#REF!</definedName>
    <definedName name="Smart_Chart_Data_Table_ca995727eeef486f8bf47ff213f670ea">#REF!</definedName>
    <definedName name="Smart_Chart_Data_Table_d05ecd3be8f14193bb775091d8b58def">#REF!</definedName>
    <definedName name="Smart_Chart_Data_Table_d35dc85a785a42818d0b4cb4a859aadd">#REF!</definedName>
    <definedName name="Smart_Chart_Data_Table_d57bd4aaefe1479f9cc93ef896c99845">#REF!</definedName>
    <definedName name="Smart_Chart_Data_Table_d961232c8ffc42b881a18a4f4582208a">#REF!</definedName>
    <definedName name="Smart_Chart_Data_Table_d9daf2535b2845c5bb1c4a7c2efce72e">#REF!</definedName>
    <definedName name="Smart_Chart_Data_Table_da0914d35e46493b800075de3e3ecf6a">#REF!</definedName>
    <definedName name="Smart_Chart_Data_Table_dc4c0cb4a46c444a829e296d085f3170">#REF!</definedName>
    <definedName name="Smart_Chart_Data_Table_e01b493245a6465d9a31679d798a55bf">#REF!</definedName>
    <definedName name="Smart_Chart_Data_Table_e03547237a1445aba683059c829a74c5">#REF!</definedName>
    <definedName name="Smart_Chart_Data_Table_e16b61b4a4ce48dc94a31329439d8a4e">#REF!</definedName>
    <definedName name="Smart_Chart_Data_Table_e6114ef56b6d40f19ef8fafe0902e93c">#REF!</definedName>
    <definedName name="Smart_Chart_Data_Table_e744b119f3194b65bca79906513f4059">#REF!</definedName>
    <definedName name="Smart_Chart_Data_Table_ed4e19f684034906b9fcaf432a47c44d">#REF!</definedName>
    <definedName name="Smart_Chart_Data_Table_ee7b0dd8322e4dafa2d83144e9781b63">#REF!</definedName>
    <definedName name="Smart_Chart_Data_Table_f05b9a942e73421db797b135b2784000">#REF!</definedName>
    <definedName name="Smart_Chart_Data_Table_f136e4ba5c3b40bda421fe8cc6f54d2a">#REF!</definedName>
    <definedName name="Smart_Chart_Data_Table_f29acc78fae24d519e858292c9e528b0">#REF!</definedName>
    <definedName name="Smart_Chart_Data_Table_f39d3e1192b140feb49aee5e9afcf28f">#REF!</definedName>
    <definedName name="Smart_Chart_Data_Table_fb917de9c4cb40a2bfdd713172ae47fd">#REF!</definedName>
    <definedName name="Smart_Chart_Data_Table_fcafd45d70c44a3a957ee2b0a6af3cd5">#REF!</definedName>
    <definedName name="Smart_Chart_Data_Table_fd93cc9523e94a71ac31647fe30ffb0a">#REF!</definedName>
    <definedName name="smc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smk" hidden="1">{"QTD_GENERALH2",#N/A,FALSE,"QTD"}</definedName>
    <definedName name="SML">#REF!</definedName>
    <definedName name="SMR">#REF!</definedName>
    <definedName name="SM일반종합">#REF!</definedName>
    <definedName name="SOAD.Sheet">#REF!</definedName>
    <definedName name="SOADs">#REF!</definedName>
    <definedName name="SOBNAME4">#REF!</definedName>
    <definedName name="SOCIETE">#REF!</definedName>
    <definedName name="Society">#REF!</definedName>
    <definedName name="software_exp">#REF!</definedName>
    <definedName name="Soi">#REF!</definedName>
    <definedName name="SOIFieldEngineers">#REF!</definedName>
    <definedName name="SOIInstTime">#REF!</definedName>
    <definedName name="SOINumber">#REF!</definedName>
    <definedName name="SOIPropVal">#REF!</definedName>
    <definedName name="SOIRsvAmount">#REF!</definedName>
    <definedName name="SOIRsvCode">#REF!</definedName>
    <definedName name="SOIRsvDesc">#REF!</definedName>
    <definedName name="SOIRsvType">#REF!</definedName>
    <definedName name="SOJA89">#REF!</definedName>
    <definedName name="SOJA90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scl" hidden="1">2</definedName>
    <definedName name="solver_sho" hidden="1">2</definedName>
    <definedName name="solver_tim" hidden="1">100</definedName>
    <definedName name="solver_tmp" hidden="1">#REF!</definedName>
    <definedName name="solver_tol" hidden="1">0.05</definedName>
    <definedName name="solver_typ" hidden="1">2</definedName>
    <definedName name="solver_val" hidden="1">0</definedName>
    <definedName name="SONBOH">#N/A</definedName>
    <definedName name="SONEOH">#N/A</definedName>
    <definedName name="sop" hidden="1">{#N/A,#N/A,FALSE,"QC REVIEW"}</definedName>
    <definedName name="SORGO">#REF!</definedName>
    <definedName name="sort" hidden="1">#REF!</definedName>
    <definedName name="sort_area">#REF!</definedName>
    <definedName name="Sort_Mkt_Mdl_Values">"CommandButton1"</definedName>
    <definedName name="sort_range">#REF!</definedName>
    <definedName name="sorted">#REF!</definedName>
    <definedName name="SortRange">#REF!</definedName>
    <definedName name="sotai">#REF!</definedName>
    <definedName name="SOUND_EQUIPMENT">#REF!</definedName>
    <definedName name="Source">#REF!</definedName>
    <definedName name="South">#REF!</definedName>
    <definedName name="SP">#REF!</definedName>
    <definedName name="SP_08_05SP_08_05_01">#REF!</definedName>
    <definedName name="SP_08_05SP_08_05_01CON">#REF!</definedName>
    <definedName name="SP_08_05SP_08_05_02">#REF!</definedName>
    <definedName name="SP_08_05SP_08_05_02CON">#REF!</definedName>
    <definedName name="SP_08_06SP_08_06_01">#REF!</definedName>
    <definedName name="SP_08_06SP_08_06_01CON">#REF!</definedName>
    <definedName name="SP_08_06SP_08_06_02">#REF!</definedName>
    <definedName name="SP_08_06SP_08_06_02CON">#REF!</definedName>
    <definedName name="SP_08_10SP_08_10_02">#REF!</definedName>
    <definedName name="SP_08_10SP_08_10_02CON">#REF!</definedName>
    <definedName name="SP_08_10SP_08_10_03">#REF!</definedName>
    <definedName name="SP_08_10SP_08_10_03CON">#REF!</definedName>
    <definedName name="SP_Period">#REF!</definedName>
    <definedName name="Spain">#REF!</definedName>
    <definedName name="SPAN">#REF!</definedName>
    <definedName name="spare">#REF!</definedName>
    <definedName name="SPEC">#REF!</definedName>
    <definedName name="SpecialPrice" hidden="1">#REF!</definedName>
    <definedName name="SpecifVar">#REF!</definedName>
    <definedName name="SPECSUMMARY">#REF!</definedName>
    <definedName name="SPEED_D170">#REF!</definedName>
    <definedName name="SPILLOVER_CAPEX">#REF!</definedName>
    <definedName name="Spironolactona">#REF!</definedName>
    <definedName name="SPL">#REF!</definedName>
    <definedName name="SPLOTHERS" hidden="1">{#N/A,#N/A,FALSE,"Aging Summary";#N/A,#N/A,FALSE,"Ratio Analysis";#N/A,#N/A,FALSE,"Test 120 Day Accts";#N/A,#N/A,FALSE,"Tickmarks"}</definedName>
    <definedName name="SpoolPath">"K:\compleo\Reports\00000006.txt"</definedName>
    <definedName name="spread">#N/A</definedName>
    <definedName name="spread1">#N/A</definedName>
    <definedName name="spreadadj">#N/A</definedName>
    <definedName name="springs">#REF!</definedName>
    <definedName name="SPWS_WBID">"F2A6A93D-873F-433B-ACDF-EE243D113E8B"</definedName>
    <definedName name="SqFt">#REF!</definedName>
    <definedName name="sr">#REF!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r_NO">{1,2,3,4,5,6,7,8,9,10,11,12}</definedName>
    <definedName name="SRC">#REF!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OCity">#REF!</definedName>
    <definedName name="SROCountry">#REF!</definedName>
    <definedName name="SRODescription">#REF!</definedName>
    <definedName name="SROFax">#REF!</definedName>
    <definedName name="SROFirstname">#REF!</definedName>
    <definedName name="SROForceSector">#REF!</definedName>
    <definedName name="SROLanguage">#REF!</definedName>
    <definedName name="SROLastname">#REF!</definedName>
    <definedName name="SROName">#REF!</definedName>
    <definedName name="SROPhone1">#REF!</definedName>
    <definedName name="SROPhone2">#REF!</definedName>
    <definedName name="SRORegion">#REF!</definedName>
    <definedName name="SROStreet1">#REF!</definedName>
    <definedName name="SROStreet2">#REF!</definedName>
    <definedName name="SROStreet3">#REF!</definedName>
    <definedName name="SROTitle">#REF!</definedName>
    <definedName name="SROZipCode">#REF!</definedName>
    <definedName name="SRS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W">#REF!</definedName>
    <definedName name="srw334g" hidden="1">#REF!</definedName>
    <definedName name="ss" hidden="1">#REF!</definedName>
    <definedName name="ss_key_List">#N/A</definedName>
    <definedName name="ss_Sort_Name">#REF!</definedName>
    <definedName name="sSa" hidden="1">{#N/A,#N/A,FALSE,"QC REVIEW"}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C1dept">#REF!</definedName>
    <definedName name="SSC2dept">#REF!</definedName>
    <definedName name="SSD" hidden="1">{#N/A,#N/A,FALSE,"REPORT"}</definedName>
    <definedName name="ssdsa" hidden="1">{#N/A,#N/A,FALSE,"FREE"}</definedName>
    <definedName name="ssdsa_2" hidden="1">{#N/A,#N/A,FALSE,"FREE"}</definedName>
    <definedName name="ssdsa_3" hidden="1">{#N/A,#N/A,FALSE,"FREE"}</definedName>
    <definedName name="ssdsa_4" hidden="1">{#N/A,#N/A,FALSE,"FREE"}</definedName>
    <definedName name="sse" hidden="1">{"YD GENERALH2",#N/A,FALSE,"YTD"}</definedName>
    <definedName name="ssr">#REF!</definedName>
    <definedName name="ｓｓｓ">#REF!</definedName>
    <definedName name="ssss" hidden="1">{#N/A,#N/A,FALSE,"COMP"}</definedName>
    <definedName name="sssss" hidden="1">{#N/A,#N/A,FALSE,"Calc";#N/A,#N/A,FALSE,"Sensitivity";#N/A,#N/A,FALSE,"LT Earn.Dil.";#N/A,#N/A,FALSE,"Dil. AVP"}</definedName>
    <definedName name="ssssss" hidden="1">{"'BGT2001'!$A$1:$AE$112"}</definedName>
    <definedName name="sssssssssssssssss" hidden="1">{"detail",#N/A,FALSE,"mfg";"summary",#N/A,FALSE,"mfg"}</definedName>
    <definedName name="sssswwww" hidden="1">{#N/A,"PURCHM",FALSE,"Business Analysis";#N/A,"SPADD",FALSE,"Business Analysis"}</definedName>
    <definedName name="SSTR">#REF!</definedName>
    <definedName name="ST">#REF!</definedName>
    <definedName name="ST_16">#REF!</definedName>
    <definedName name="ST_17">#REF!</definedName>
    <definedName name="ST_4">#REF!</definedName>
    <definedName name="ST_Refund_Detail">#REF!</definedName>
    <definedName name="staccr">#REF!</definedName>
    <definedName name="staff">#REF!</definedName>
    <definedName name="staffwel">#REF!</definedName>
    <definedName name="staffwelfare">#REF!</definedName>
    <definedName name="stalecheque">#REF!</definedName>
    <definedName name="stamort">#REF!</definedName>
    <definedName name="stampa">#REF!</definedName>
    <definedName name="STAN">#REF!</definedName>
    <definedName name="STANDARDS">#REF!</definedName>
    <definedName name="Staril" hidden="1">{#N/A,#N/A,FALSE,"REPORT"}</definedName>
    <definedName name="STARS">#REF!</definedName>
    <definedName name="STARS_Values_2015">#REF!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FNM">#REF!</definedName>
    <definedName name="start_SNK">#REF!</definedName>
    <definedName name="StartDelete">#REF!</definedName>
    <definedName name="StartDelete2">#REF!</definedName>
    <definedName name="StartFormat">#REF!</definedName>
    <definedName name="STARTJOURNALIMPORT1">#REF!</definedName>
    <definedName name="STARTJOURNALIMPORT2">#REF!</definedName>
    <definedName name="STARTJOURNALIMPORT3">#REF!</definedName>
    <definedName name="StartSummaryCol">#REF!</definedName>
    <definedName name="StartValue">-0.00506271473511073</definedName>
    <definedName name="State">#REF!</definedName>
    <definedName name="state_comparison">#REF!</definedName>
    <definedName name="Statement">#REF!</definedName>
    <definedName name="states">#REF!</definedName>
    <definedName name="Stationery">#REF!</definedName>
    <definedName name="StationeryEA">#REF!</definedName>
    <definedName name="Status">#REF!</definedName>
    <definedName name="Status_4">#REF!</definedName>
    <definedName name="StatusDate">#REF!</definedName>
    <definedName name="StatusReportNAme">#REF!</definedName>
    <definedName name="stcg">#REF!</definedName>
    <definedName name="stcg.IncOfCurYrAfterSetOff1">#REF!</definedName>
    <definedName name="STD">#REF!</definedName>
    <definedName name="STD2001SEPT">#REF!</definedName>
    <definedName name="STDTB">#REF!</definedName>
    <definedName name="steam">#REF!</definedName>
    <definedName name="steam._genr.">#REF!</definedName>
    <definedName name="Steam_genr.">#REF!</definedName>
    <definedName name="STEPBOR">#REF!</definedName>
    <definedName name="StepValue">0.000315629990474312</definedName>
    <definedName name="sti">#REF!</definedName>
    <definedName name="StiefDuty5">#REF!</definedName>
    <definedName name="StiefDuty7">#REF!</definedName>
    <definedName name="StiefDuty8">#REF!</definedName>
    <definedName name="StiefStock5">#REF!</definedName>
    <definedName name="StiefStock7">#REF!</definedName>
    <definedName name="StiefStock8">#REF!</definedName>
    <definedName name="StiefVAT5">#REF!</definedName>
    <definedName name="StiefVAT7">#REF!</definedName>
    <definedName name="StiefVAT8">#REF!</definedName>
    <definedName name="stinvest">#REF!</definedName>
    <definedName name="stk">#REF!</definedName>
    <definedName name="STK_ACCTS">#REF!</definedName>
    <definedName name="STK_BANK">#REF!</definedName>
    <definedName name="Stk_working">#REF!</definedName>
    <definedName name="STMOVE">#REF!</definedName>
    <definedName name="STMT.OF.SERIES.CAPITAL">#REF!</definedName>
    <definedName name="STN">#REF!</definedName>
    <definedName name="STOCK">#REF!</definedName>
    <definedName name="STOCK_ACS">#REF!</definedName>
    <definedName name="STOCK_FOREX_Closing">#REF!</definedName>
    <definedName name="STOCK_FOREX_Opening">#REF!</definedName>
    <definedName name="STOCK_On_Hire">#REF!</definedName>
    <definedName name="STOCK_SHARES_Closing">#REF!</definedName>
    <definedName name="STOCK_SHARES_Opening">#REF!</definedName>
    <definedName name="stock_status2001">#REF!</definedName>
    <definedName name="STOCK_TEXTILES_Closing">#REF!</definedName>
    <definedName name="STOCK_TEXTILES_Opening">#REF!</definedName>
    <definedName name="Stock_Valuation">#REF!</definedName>
    <definedName name="stock02" hidden="1">{#N/A,#N/A,FALSE,"gc (2)"}</definedName>
    <definedName name="stock1">#REF!</definedName>
    <definedName name="stockdata">#REF!</definedName>
    <definedName name="Stocks">#REF!</definedName>
    <definedName name="sTopic">#REF!</definedName>
    <definedName name="STOPS">#REF!</definedName>
    <definedName name="storage_and_interest">#REF!</definedName>
    <definedName name="storeconsumed">#REF!</definedName>
    <definedName name="STP">#REF!</definedName>
    <definedName name="STPA10.DedFromUndertaking">#REF!</definedName>
    <definedName name="STPA10.TotalDedUs10Sub">#REF!</definedName>
    <definedName name="stpaid">#REF!</definedName>
    <definedName name="stpurch">#REF!</definedName>
    <definedName name="Strat_Plan">#REF!</definedName>
    <definedName name="StratPlanAP" hidden="1">{#N/A,#N/A,FALSE,"Pharm";#N/A,#N/A,FALSE,"WWCM"}</definedName>
    <definedName name="STREET_ADDRESS">#REF!</definedName>
    <definedName name="StrListYear">#REF!</definedName>
    <definedName name="strMonthList">#REF!</definedName>
    <definedName name="Strokes">#REF!</definedName>
    <definedName name="STRUCTUR">#REF!</definedName>
    <definedName name="STTC.STTPaid">#REF!</definedName>
    <definedName name="STTC.TaxPaySTTAvgRate">#REF!</definedName>
    <definedName name="stu" hidden="1">{#N/A,#N/A,FALSE,"Tabl. D1";#N/A,#N/A,FALSE,"Tabl. D1 b";#N/A,#N/A,FALSE,"Tabl. D2";#N/A,#N/A,FALSE,"Tabl. D2 b";#N/A,#N/A,FALSE,"Tabl. D3";#N/A,#N/A,FALSE,"Tabl. D4";#N/A,#N/A,FALSE,"Tabl. D5"}</definedName>
    <definedName name="stub">#REF!</definedName>
    <definedName name="stubyear">#REF!</definedName>
    <definedName name="Stud_7x14.5___M6x29_Thd_Frm_Plas">#REF!</definedName>
    <definedName name="STUDIO_LIGHTS">#REF!</definedName>
    <definedName name="stuff">#REF!</definedName>
    <definedName name="stugl">#REF!</definedName>
    <definedName name="stunreal">#REF!</definedName>
    <definedName name="stupid">#REF!</definedName>
    <definedName name="sub_notes.cha_Final">#N/A</definedName>
    <definedName name="sub_notes.cha_GA">#N/A</definedName>
    <definedName name="sub_notes.chd">#N/A</definedName>
    <definedName name="sub_notes.chd_Final">#N/A</definedName>
    <definedName name="sub_notes.chd_GA">#N/A</definedName>
    <definedName name="sub_notes.combined_name">#N/A</definedName>
    <definedName name="sub_notes.Corp">#N/A</definedName>
    <definedName name="sub_notes.Corp_Final">#N/A</definedName>
    <definedName name="sub_notes.Corp_Final2">#N/A</definedName>
    <definedName name="sub_notes.Corp_GA">#N/A</definedName>
    <definedName name="sub_notes.corps">#N/A</definedName>
    <definedName name="sub_notes.corps_Final">#N/A</definedName>
    <definedName name="sub_notes.corps_GA">#N/A</definedName>
    <definedName name="sub_notes.count">#N/A</definedName>
    <definedName name="sub_notes.Data">#N/A</definedName>
    <definedName name="sub_notes.DataPT">#N/A</definedName>
    <definedName name="sub_notes.Discontinuing">#N/A</definedName>
    <definedName name="sub_notes.drd">#N/A</definedName>
    <definedName name="sub_notes.drd_Final">#N/A</definedName>
    <definedName name="sub_notes.drd_GA">#N/A</definedName>
    <definedName name="sub_notes.enn">#N/A</definedName>
    <definedName name="sub_notes.enn_Final">#N/A</definedName>
    <definedName name="sub_notes.enn_GA">#N/A</definedName>
    <definedName name="sub_notes.fd">#N/A</definedName>
    <definedName name="sub_notes.fd_Final">#N/A</definedName>
    <definedName name="sub_notes.fd_GA">#N/A</definedName>
    <definedName name="sub_notes.ffd">#N/A</definedName>
    <definedName name="sub_notes.ffd_Final">#N/A</definedName>
    <definedName name="sub_notes.ffd_GA">#N/A</definedName>
    <definedName name="sub_notes.got">#N/A</definedName>
    <definedName name="sub_notes.got_Final">#N/A</definedName>
    <definedName name="sub_notes.got_GA">#N/A</definedName>
    <definedName name="sub_notes.gtc">#N/A</definedName>
    <definedName name="sub_notes.gtc_Final">#N/A</definedName>
    <definedName name="sub_notes.gtc_GA">#N/A</definedName>
    <definedName name="sub_notes.Hambuja">#N/A</definedName>
    <definedName name="sub_notes.Hambuja_Final">#N/A</definedName>
    <definedName name="sub_notes.Hambuja_GA">#N/A</definedName>
    <definedName name="sub_notes.ntpl">#N/A</definedName>
    <definedName name="sub_notes.ntpl_Final">#N/A</definedName>
    <definedName name="sub_notes.ntpl_GA">#N/A</definedName>
    <definedName name="sub_notes.off">#N/A</definedName>
    <definedName name="sub_notes.off_Final">#N/A</definedName>
    <definedName name="sub_notes.off_GA">#N/A</definedName>
    <definedName name="sub_notes.shp">#N/A</definedName>
    <definedName name="sub_notes.shp_Final">#N/A</definedName>
    <definedName name="sub_notes.shp_GA">#N/A</definedName>
    <definedName name="sub_notes.siote">#N/A</definedName>
    <definedName name="sub_notes.siote_Final">#N/A</definedName>
    <definedName name="sub_notes.siote_GA">#N/A</definedName>
    <definedName name="sub_notes.stv">#N/A</definedName>
    <definedName name="sub_notes.stv_Final">#N/A</definedName>
    <definedName name="sub_notes.stv_GA">#N/A</definedName>
    <definedName name="sub_notes.tax">#N/A</definedName>
    <definedName name="sub_notes.tax_Final">#N/A</definedName>
    <definedName name="sub_notes.tax_GA">#N/A</definedName>
    <definedName name="sub_notes.trk">#N/A</definedName>
    <definedName name="sub_notes.trk_Final">#N/A</definedName>
    <definedName name="sub_notes.trk_GA">#N/A</definedName>
    <definedName name="sub_notes.wage">#N/A</definedName>
    <definedName name="sub_notes.wage_Final">#N/A</definedName>
    <definedName name="sub_notes.wage_GA">#N/A</definedName>
    <definedName name="sub_notes.wh">#N/A</definedName>
    <definedName name="sub_notes.wh_Final">#N/A</definedName>
    <definedName name="sub_notes.wh_GA">#N/A</definedName>
    <definedName name="Sub_system_M_Query">#REF!</definedName>
    <definedName name="SUB1EQ">#REF!</definedName>
    <definedName name="SUB1EQ1">#REF!</definedName>
    <definedName name="SUB1RATE">#REF!</definedName>
    <definedName name="SUB1RATE1">#REF!</definedName>
    <definedName name="SUB1TERM">#REF!</definedName>
    <definedName name="SUB1TERM1">#REF!</definedName>
    <definedName name="SUB2EQ">#REF!</definedName>
    <definedName name="SUB2RATE">#REF!</definedName>
    <definedName name="SUB2TERM">#REF!</definedName>
    <definedName name="SUBMIT_TOT">#REF!</definedName>
    <definedName name="SubPaySched">#REF!</definedName>
    <definedName name="subredprice">#REF!</definedName>
    <definedName name="Subtitle">#REF!</definedName>
    <definedName name="succ" hidden="1">{#N/A,#N/A,FALSE,"COVER1.XLS ";#N/A,#N/A,FALSE,"RACT1.XLS";#N/A,#N/A,FALSE,"RACT2.XLS";#N/A,#N/A,FALSE,"ECCMP";#N/A,#N/A,FALSE,"WELDER.XLS"}</definedName>
    <definedName name="sueldos">#REF!</definedName>
    <definedName name="SUFFIX">#REF!</definedName>
    <definedName name="SUM">#REF!</definedName>
    <definedName name="SUM_MIL">#REF!</definedName>
    <definedName name="Sum_of_All">#REF!</definedName>
    <definedName name="Sum_RSq">#REF!</definedName>
    <definedName name="suma">#REF!</definedName>
    <definedName name="SumBaseCell">#REF!</definedName>
    <definedName name="SUMGB">#REF!</definedName>
    <definedName name="sumit" hidden="1">{#N/A,#N/A,FALSE,"Tabl. FB300";#N/A,#N/A,FALSE,"Tabl. FB350";#N/A,#N/A,FALSE,"Tabl. FB400";#N/A,#N/A,FALSE,"Tabl. FB500";#N/A,#N/A,FALSE,"Tabl. FS090"}</definedName>
    <definedName name="sumjpn02">#REF!</definedName>
    <definedName name="SUMM">#REF!</definedName>
    <definedName name="summ_Int">#REF!</definedName>
    <definedName name="Summaries">#REF!</definedName>
    <definedName name="SUMMARY">#REF!</definedName>
    <definedName name="Summary___Budget_2006">#REF!</definedName>
    <definedName name="Summary___Sales_Analysis_L_E_2005_Vs_Budget_2006">#REF!</definedName>
    <definedName name="Summary_of_audit_differences">#REF!</definedName>
    <definedName name="SUMMARY_OF_EXPO">#REF!</definedName>
    <definedName name="Summary_Phase3" hidden="1">{"Summary",#N/A,FALSE,"Summary"}</definedName>
    <definedName name="summary_print">#REF!</definedName>
    <definedName name="SUMMARY1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SumRSQu">#REF!</definedName>
    <definedName name="SUN_CRED_FINAL">#REF!</definedName>
    <definedName name="Sundry">#REF!</definedName>
    <definedName name="Sundry_Crs">#REF!</definedName>
    <definedName name="SUNDRY_DEBTORS">#REF!</definedName>
    <definedName name="sundry_Drs">#REF!</definedName>
    <definedName name="sundryexp">#REF!</definedName>
    <definedName name="SunDuty5">#REF!</definedName>
    <definedName name="SunDuty7">#REF!</definedName>
    <definedName name="SunDuty8">#REF!</definedName>
    <definedName name="sunil">#REF!</definedName>
    <definedName name="sunilkumar">#REF!</definedName>
    <definedName name="sunit">#REF!</definedName>
    <definedName name="SunStock5">#REF!</definedName>
    <definedName name="SunStock7">#REF!</definedName>
    <definedName name="SunStock8">#REF!</definedName>
    <definedName name="SunVAT">#REF!</definedName>
    <definedName name="SunVAT7">#REF!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erannpay">#REF!</definedName>
    <definedName name="supermopay">#REF!</definedName>
    <definedName name="SUPLEM">#REF!</definedName>
    <definedName name="supplier">#REF!</definedName>
    <definedName name="SUPPLIER_LIST">#REF!</definedName>
    <definedName name="Suppliers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s" hidden="1">{"C COM Detail Qtr of",#N/A,FALSE,"DATA";"D Exp Detail Qtr of",#N/A,FALSE,"DATA"}</definedName>
    <definedName name="supply" hidden="1">{#N/A,#N/A,FALSE,"PMTABB";#N/A,#N/A,FALSE,"PMTABB"}</definedName>
    <definedName name="supply_2" hidden="1">{#N/A,#N/A,FALSE,"PMTABB";#N/A,#N/A,FALSE,"PMTABB"}</definedName>
    <definedName name="supply_3" hidden="1">{#N/A,#N/A,FALSE,"PMTABB";#N/A,#N/A,FALSE,"PMTABB"}</definedName>
    <definedName name="supply_4" hidden="1">{#N/A,#N/A,FALSE,"PMTABB";#N/A,#N/A,FALSE,"PMTABB"}</definedName>
    <definedName name="SUPPORT_EQUIPMENT">#REF!</definedName>
    <definedName name="surgact">#REF!</definedName>
    <definedName name="surgstd">#REF!</definedName>
    <definedName name="Susan" hidden="1">{#N/A,#N/A,FALSE,"Revised cover";#N/A,#N/A,FALSE,"Trends";"main view",#N/A,FALSE,"As Reported";#N/A,#N/A,FALSE,"delegations";#N/A,#N/A,FALSE,"(un) Commited"}</definedName>
    <definedName name="sushila">ROW(#REF!)</definedName>
    <definedName name="SUTL">#REF!</definedName>
    <definedName name="Sutlej">#REF!</definedName>
    <definedName name="sv_iv">#REF!</definedName>
    <definedName name="svc">#REF!</definedName>
    <definedName name="SVS">#REF!</definedName>
    <definedName name="svsg" hidden="1">{"Annual",#N/A,FALSE,"Sales &amp; Market";"Quarterly",#N/A,FALSE,"Sales &amp; Market"}</definedName>
    <definedName name="sw" hidden="1">{#N/A,"PURCHM",FALSE,"Business Analysis";#N/A,"SPADD",FALSE,"Business Analysis"}</definedName>
    <definedName name="swamy">"f19"</definedName>
    <definedName name="SWAP">#REF!</definedName>
    <definedName name="SWATI">#REF!</definedName>
    <definedName name="swaw" hidden="1">{"TEXO2N2_VOL",#N/A,FALSE,"MTHLYVOL";"TEXH2_VOL",#N/A,FALSE,"MTHLYVOL";"LOUIS_VOL",#N/A,FALSE,"MTHLYVOL";"H2_VOL",#N/A,FALSE,"MTHLYVOL";"O2N2_VOL",#N/A,FALSE,"MTHLYVOL";"PACKAGE_VOL",#N/A,FALSE,"MTHLYVOL"}</definedName>
    <definedName name="swe">#N/A</definedName>
    <definedName name="SWED">#REF!</definedName>
    <definedName name="SWEDEN">#REF!</definedName>
    <definedName name="sweep">#REF!</definedName>
    <definedName name="SWFSDF" hidden="1">{#N/A,#N/A,FALSE,"COMP"}</definedName>
    <definedName name="SWIT">#REF!</definedName>
    <definedName name="SWITCH">#REF!</definedName>
    <definedName name="SWITZ">#REF!</definedName>
    <definedName name="Switzerland">#REF!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wvu.nnn." hidden="1">#REF!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cg" hidden="1">{#N/A,#N/A,FALSE,"PGW"}</definedName>
    <definedName name="sxcg_2" hidden="1">{#N/A,#N/A,FALSE,"PGW"}</definedName>
    <definedName name="sxcg_3" hidden="1">{#N/A,#N/A,FALSE,"PGW"}</definedName>
    <definedName name="sxcg_4" hidden="1">{#N/A,#N/A,FALSE,"PGW"}</definedName>
    <definedName name="sYesNo">#REF!</definedName>
    <definedName name="SYM">#REF!</definedName>
    <definedName name="SYMPHONY">#REF!</definedName>
    <definedName name="Synergy">#REF!</definedName>
    <definedName name="SYNOPSIS">#REF!</definedName>
    <definedName name="SYNTHESE">#REF!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x" hidden="1">{"LAPO2N2",#N/A,FALSE,"CM"}</definedName>
    <definedName name="S행">#REF!</definedName>
    <definedName name="T">#REF!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?">#REF!</definedName>
    <definedName name="t___CC">#REF!</definedName>
    <definedName name="T_Autres">#REF!</definedName>
    <definedName name="T_CH_FIN_NET">#REF!</definedName>
    <definedName name="T_Com">#REF!</definedName>
    <definedName name="T_E">#REF!</definedName>
    <definedName name="T_Fin">#REF!</definedName>
    <definedName name="T_Fin_Ext">#REF!</definedName>
    <definedName name="T_Frai_Fin">#REF!</definedName>
    <definedName name="T_M">#REF!</definedName>
    <definedName name="T_Pla">#REF!</definedName>
    <definedName name="T_Pla_Ext">#REF!</definedName>
    <definedName name="T_Pla_Int">#REF!</definedName>
    <definedName name="T_PLDATA_1331Y_１">#REF!</definedName>
    <definedName name="T_T">#REF!</definedName>
    <definedName name="T_YF1">#REF!</definedName>
    <definedName name="T_回路">#REF!</definedName>
    <definedName name="T_当期ﾁｬｰｼﾞ">#REF!</definedName>
    <definedName name="T_臨時ﾃﾞｰﾀ_開発ｽﾃｰｼﾞ">#REF!</definedName>
    <definedName name="T_軽_132下予算_PLﾃﾞｰﾀ">#REF!</definedName>
    <definedName name="T1àT116">#REF!,#REF!,#REF!,#REF!,#REF!,#REF!,#REF!,#REF!,#REF!,#REF!,#REF!,#REF!,#REF!</definedName>
    <definedName name="T1àT61">#REF!,#REF!,#REF!,#REF!,#REF!,#REF!,#REF!,#REF!,#REF!,#REF!,#REF!,#REF!,#REF!,#REF!,#REF!,#REF!,#REF!</definedName>
    <definedName name="T22àT61">#REF!,#REF!,#REF!,#REF!,#REF!,#REF!</definedName>
    <definedName name="t3tr" hidden="1">{#N/A,#N/A,FALSE,"COMP"}</definedName>
    <definedName name="ta">#REF!</definedName>
    <definedName name="TAB">#REF!</definedName>
    <definedName name="tabelle" hidden="1">{"Synthesis",#N/A,FALSE,"SYNTHESIS"}</definedName>
    <definedName name="tabl" hidden="1">{#N/A,#N/A,FALSE,"Tabl. H1";#N/A,#N/A,FALSE,"Tabl. H2"}</definedName>
    <definedName name="Table">#REF!</definedName>
    <definedName name="TABLE_13">NA()</definedName>
    <definedName name="TABLE_14">NA()</definedName>
    <definedName name="TABLE_15">NA()</definedName>
    <definedName name="TABLE_16">#REF!</definedName>
    <definedName name="TABLE_17">NA()</definedName>
    <definedName name="TABLE_18">NA()</definedName>
    <definedName name="TABLE_19">#REF!</definedName>
    <definedName name="TABLE_2">NA()</definedName>
    <definedName name="TABLE_3">NA()</definedName>
    <definedName name="TABLE_4">NA()</definedName>
    <definedName name="TABLE_5">#REF!</definedName>
    <definedName name="TABLE_6">NA()</definedName>
    <definedName name="TABLE_7">NA()</definedName>
    <definedName name="TABLE_8">#REF!</definedName>
    <definedName name="TABLE_9">NA()</definedName>
    <definedName name="TABLE1">#REF!</definedName>
    <definedName name="table9">#REF!</definedName>
    <definedName name="tableau" hidden="1">{#N/A,#N/A,FALSE,"Tabl. A1";#N/A,#N/A,FALSE,"Tabl. A1 b";#N/A,#N/A,FALSE,"Tabl. A2";#N/A,#N/A,FALSE,"Tabl. A2-1";#N/A,#N/A,FALSE,"Tabl. A2-2"}</definedName>
    <definedName name="TableName">"Dummy"</definedName>
    <definedName name="TABLES">#REF!</definedName>
    <definedName name="TABLESORT">#REF!</definedName>
    <definedName name="tadao">#REF!</definedName>
    <definedName name="TAFName">#REF!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kDuty5">#REF!</definedName>
    <definedName name="TakDuty7">#REF!</definedName>
    <definedName name="TakDuty8">#REF!</definedName>
    <definedName name="TakStock5">#REF!</definedName>
    <definedName name="TakStock7">#REF!</definedName>
    <definedName name="TakStock8">#REF!</definedName>
    <definedName name="TakVAT5">#REF!</definedName>
    <definedName name="TakVAT7">#REF!</definedName>
    <definedName name="TakVAT8">#REF!</definedName>
    <definedName name="tally">#REF!</definedName>
    <definedName name="TAMNo">#REF!</definedName>
    <definedName name="TAMTINH">#REF!</definedName>
    <definedName name="TAName">#REF!</definedName>
    <definedName name="TAPlace">#REF!</definedName>
    <definedName name="TAREGT_ISDG">#REF!</definedName>
    <definedName name="Target">#REF!</definedName>
    <definedName name="Target_1Q">#REF!</definedName>
    <definedName name="TARGET_GRAPH_ISDG">#REF!</definedName>
    <definedName name="TARGET_GRAPH_ISDM">#REF!</definedName>
    <definedName name="TARGET_GRAPH_ISDMG">#REF!</definedName>
    <definedName name="TARGET_ISDM">#REF!</definedName>
    <definedName name="TARGET_ISDMG">#REF!</definedName>
    <definedName name="TARGET_LIST_YM111">#REF!</definedName>
    <definedName name="Target_Market">#REF!</definedName>
    <definedName name="Target_Shares_Out__Mkt_Val">#REF!</definedName>
    <definedName name="Target1">#REF!</definedName>
    <definedName name="targets">#REF!</definedName>
    <definedName name="tarush">#REF!</definedName>
    <definedName name="tax">#REF!</definedName>
    <definedName name="Tax_calculations">#REF!</definedName>
    <definedName name="Tax_Case">#REF!</definedName>
    <definedName name="TAX_COMP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axAudAdd">#REF!</definedName>
    <definedName name="TaxAuditDate">#REF!</definedName>
    <definedName name="TAXCOMP">#REF!</definedName>
    <definedName name="taxdepr">#REF!</definedName>
    <definedName name="Taxinfo">#REF!</definedName>
    <definedName name="taxliab">#REF!</definedName>
    <definedName name="taxol" hidden="1">{#N/A,#N/A,FALSE,"Pharm";#N/A,#N/A,FALSE,"WWCM"}</definedName>
    <definedName name="TaxRate">#REF!</definedName>
    <definedName name="TaxTV">10%</definedName>
    <definedName name="TaxXL">5%</definedName>
    <definedName name="TB">#REF!</definedName>
    <definedName name="TB_Alpha">#REF!</definedName>
    <definedName name="TB_AREA">#REF!</definedName>
    <definedName name="tb_consolidated.ccd_Total">#N/A</definedName>
    <definedName name="tb_consolidated.ccd_Total_RO">#N/A</definedName>
    <definedName name="tb_consolidated.CFS">#N/A</definedName>
    <definedName name="tb_consolidated.CFS_CE">#N/A</definedName>
    <definedName name="tb_consolidated.CFS_RO_Adj">#N/A</definedName>
    <definedName name="tb_consolidated.CFS_Total">#N/A</definedName>
    <definedName name="tb_consolidated.CFS_Total_RO">#N/A</definedName>
    <definedName name="tb_consolidated.CFS2">#N/A</definedName>
    <definedName name="tb_consolidated.cha">#N/A</definedName>
    <definedName name="tb_consolidated.cha_CE">#N/A</definedName>
    <definedName name="tb_consolidated.cha_Total">#N/A</definedName>
    <definedName name="tb_consolidated.cha_Total_RO">#N/A</definedName>
    <definedName name="tb_consolidated.chd">#N/A</definedName>
    <definedName name="tb_consolidated.chd_CE">#N/A</definedName>
    <definedName name="tb_consolidated.chd_Total">#N/A</definedName>
    <definedName name="tb_consolidated.chd_Total_RO">#N/A</definedName>
    <definedName name="tb_consolidated.Check">#N/A</definedName>
    <definedName name="tb_consolidated.classification">#N/A</definedName>
    <definedName name="tb_consolidated.Control">#N/A</definedName>
    <definedName name="tb_consolidated.corp">#N/A</definedName>
    <definedName name="tb_consolidated.Corp_CE">#N/A</definedName>
    <definedName name="tb_consolidated.corp_RO_adj">#N/A</definedName>
    <definedName name="tb_consolidated.corp_total">#N/A</definedName>
    <definedName name="tb_consolidated.Corp_Total_RO">#N/A</definedName>
    <definedName name="tb_consolidated.corps">#N/A</definedName>
    <definedName name="tb_consolidated.corps_CE">#N/A</definedName>
    <definedName name="tb_consolidated.corps_Total">#N/A</definedName>
    <definedName name="tb_consolidated.corps_Total_RO">#N/A</definedName>
    <definedName name="tb_consolidated.Data">#N/A</definedName>
    <definedName name="tb_consolidated.DataPT">#N/A</definedName>
    <definedName name="tb_consolidated.Description">#N/A</definedName>
    <definedName name="tb_consolidated.drd">#N/A</definedName>
    <definedName name="tb_consolidated.drd_CE">#N/A</definedName>
    <definedName name="tb_consolidated.drd_Total">#N/A</definedName>
    <definedName name="tb_consolidated.drd_Total_RO">#N/A</definedName>
    <definedName name="tb_consolidated.ec_code">#N/A</definedName>
    <definedName name="tb_consolidated.enn">#N/A</definedName>
    <definedName name="tb_consolidated.enn_CE">#N/A</definedName>
    <definedName name="tb_consolidated.enn_Total">#N/A</definedName>
    <definedName name="tb_consolidated.enn_Total_RO">#N/A</definedName>
    <definedName name="tb_consolidated.fd">#N/A</definedName>
    <definedName name="tb_consolidated.fd_CE">#N/A</definedName>
    <definedName name="tb_consolidated.fd_Total">#N/A</definedName>
    <definedName name="tb_consolidated.fd_Total_RO">#N/A</definedName>
    <definedName name="tb_consolidated.ffd">#N/A</definedName>
    <definedName name="tb_consolidated.ffd_CE">#N/A</definedName>
    <definedName name="tb_consolidated.ffd_Total">#N/A</definedName>
    <definedName name="tb_consolidated.ffd_Total_RO">#N/A</definedName>
    <definedName name="tb_consolidated.got">#N/A</definedName>
    <definedName name="tb_consolidated.got_CE">#N/A</definedName>
    <definedName name="tb_consolidated.got_Total">#N/A</definedName>
    <definedName name="tb_consolidated.got_Total_RO">#N/A</definedName>
    <definedName name="tb_consolidated.gtc">#N/A</definedName>
    <definedName name="tb_consolidated.gtc_CE">#N/A</definedName>
    <definedName name="tb_consolidated.gtc_Total">#N/A</definedName>
    <definedName name="tb_consolidated.gtc_Total_RO">#N/A</definedName>
    <definedName name="tb_consolidated.Hambuja">#N/A</definedName>
    <definedName name="tb_consolidated.Hambuja_CE">#N/A</definedName>
    <definedName name="tb_consolidated.Hambuja_RO_adj">#N/A</definedName>
    <definedName name="tb_consolidated.Hambuja_Total">#N/A</definedName>
    <definedName name="tb_consolidated.Hambuja_Total_RO">#N/A</definedName>
    <definedName name="tb_consolidated.ntpl">#N/A</definedName>
    <definedName name="tb_consolidated.ntpl_CE">#N/A</definedName>
    <definedName name="tb_consolidated.ntpl_Total">#N/A</definedName>
    <definedName name="tb_consolidated.ntpl_Total_RO">#N/A</definedName>
    <definedName name="TB_Data">OFFSET(#REF!,0,0,COUNTA(#REF!),COUNTA(#REF!))</definedName>
    <definedName name="tb_dsc">#REF!</definedName>
    <definedName name="tb_est">#REF!</definedName>
    <definedName name="tb_file">#REF!</definedName>
    <definedName name="tb_lid">#REF!</definedName>
    <definedName name="tb_me">#REF!</definedName>
    <definedName name="TB_START">#REF!</definedName>
    <definedName name="tb_zone">#REF!</definedName>
    <definedName name="tb01a">#REF!</definedName>
    <definedName name="tb17.04">#REF!</definedName>
    <definedName name="TBA">#REF!</definedName>
    <definedName name="TBAL">#REF!</definedName>
    <definedName name="tbbbbbbbbbbbbbbb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S">#REF!</definedName>
    <definedName name="TBCHK">#REF!</definedName>
    <definedName name="TBDYN">#REF!</definedName>
    <definedName name="tberd">#REF!</definedName>
    <definedName name="tbexcel02">#REF!</definedName>
    <definedName name="TBFINAL">#REF!</definedName>
    <definedName name="tbg" hidden="1">{#N/A,#N/A,FALSE,"Tabl. G1";#N/A,#N/A,FALSE,"Tabl. G2"}</definedName>
    <definedName name="tbgujab">#REF!</definedName>
    <definedName name="TBHO">#REF!</definedName>
    <definedName name="TBL">#REF!</definedName>
    <definedName name="tbl_ProdInfo" hidden="1">#REF!</definedName>
    <definedName name="tblMain">#REF!</definedName>
    <definedName name="tblSachnummer">#REF!</definedName>
    <definedName name="tbmfgpro02">#REF!</definedName>
    <definedName name="TBPL">#REF!</definedName>
    <definedName name="tbpow">#REF!</definedName>
    <definedName name="tbpt">#REF!</definedName>
    <definedName name="TC">#REF!</definedName>
    <definedName name="TÇà">#REF!</definedName>
    <definedName name="TCF">#REF!</definedName>
    <definedName name="TCF_SUM">#REF!</definedName>
    <definedName name="TCS.AmtDebited">#REF!</definedName>
    <definedName name="TCS.AmtTCSClaimedThisYear">#REF!</definedName>
    <definedName name="TCS.CityOrTownOrDistrict">#REF!</definedName>
    <definedName name="TCS.DatePayDeb">#REF!</definedName>
    <definedName name="TCS.EmployerOrDeductorOrCollecterName">#REF!</definedName>
    <definedName name="TCS.PinCode">#REF!</definedName>
    <definedName name="TCS.StateCode">#REF!</definedName>
    <definedName name="TCS.TAN">#REF!</definedName>
    <definedName name="TCS.TotalTCS">#REF!</definedName>
    <definedName name="td">#REF!</definedName>
    <definedName name="TDATE">#REF!</definedName>
    <definedName name="tdia">#REF!</definedName>
    <definedName name="tdioer" hidden="1">{"'BGT2001'!$A$1:$AE$112"}</definedName>
    <definedName name="tdo">#REF!</definedName>
    <definedName name="tdr">#REF!</definedName>
    <definedName name="TDS">#REF!</definedName>
    <definedName name="TDS2.AddrDetail">#REF!</definedName>
    <definedName name="TDS2.AmtPaid">#REF!</definedName>
    <definedName name="TDS2.CityOrTownOrDistrict">#REF!</definedName>
    <definedName name="TDS2.ClaimOutOfTotTDSOnAmtPaid">#REF!</definedName>
    <definedName name="TDS2.DatePayCred">#REF!</definedName>
    <definedName name="TDS2.EmployerOrDeductorOrCollecterName">#REF!</definedName>
    <definedName name="TDS2.PinCode">#REF!</definedName>
    <definedName name="TDS2.StateCode">#REF!</definedName>
    <definedName name="TDS2.TAN">#REF!</definedName>
    <definedName name="TDS2.TotTDSOnAmtPaid">#REF!</definedName>
    <definedName name="TDSCERTICATES">#REF!</definedName>
    <definedName name="tdskhil">#REF!</definedName>
    <definedName name="tdsml">#REF!</definedName>
    <definedName name="TDSonincome">#REF!</definedName>
    <definedName name="tdsphil">#REF!</definedName>
    <definedName name="tdsthpl">#REF!</definedName>
    <definedName name="tdstll">#REF!</definedName>
    <definedName name="tdswvl">#REF!</definedName>
    <definedName name="tdt">#REF!</definedName>
    <definedName name="te">#REF!</definedName>
    <definedName name="team">#REF!</definedName>
    <definedName name="Team_Comp">#REF!</definedName>
    <definedName name="Team_Sales">#REF!</definedName>
    <definedName name="tec">#REF!</definedName>
    <definedName name="TECH">#REF!</definedName>
    <definedName name="TECHTR">#REF!</definedName>
    <definedName name="TELCO">#REF!</definedName>
    <definedName name="TELE" hidden="1">{"'Mach'!$A$1:$D$39"}</definedName>
    <definedName name="Telecommunication">#REF!</definedName>
    <definedName name="telephone">#REF!</definedName>
    <definedName name="TELEVISION___VCP_VCR">#REF!</definedName>
    <definedName name="Tem" hidden="1">{#N/A,#N/A,FALSE,"Pharm";#N/A,#N/A,FALSE,"WWCM"}</definedName>
    <definedName name="tem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3">#REF!</definedName>
    <definedName name="temp5">#REF!</definedName>
    <definedName name="Template.WIRE">"DBACCESS"</definedName>
    <definedName name="Template_Analytic">#REF!</definedName>
    <definedName name="TEMPLATENUMBER1">#REF!</definedName>
    <definedName name="TEMPLATENUMBER2">#REF!</definedName>
    <definedName name="TEMPLATENUMBER3">#REF!</definedName>
    <definedName name="TEMPLATESTYLE1">#REF!</definedName>
    <definedName name="TEMPLATESTYLE2">#REF!</definedName>
    <definedName name="TEMPLATESTYLE3">#REF!</definedName>
    <definedName name="TEMPLATETYPE1">#REF!</definedName>
    <definedName name="TEMPLATETYPE2">#REF!</definedName>
    <definedName name="TEMPLATETYPE3">#REF!</definedName>
    <definedName name="Ten">#REF!</definedName>
    <definedName name="Teofilin">#REF!</definedName>
    <definedName name="teq" hidden="1">{#N/A,#N/A,FALSE,"Pharm";#N/A,#N/A,FALSE,"WWCM"}</definedName>
    <definedName name="Tequin" hidden="1">{#N/A,#N/A,FALSE,"Pharm";#N/A,#N/A,FALSE,"WWCM"}</definedName>
    <definedName name="tequinol" hidden="1">{#N/A,#N/A,FALSE,"REPORT"}</definedName>
    <definedName name="ter">#REF!</definedName>
    <definedName name="terc" hidden="1">{"YD GENERALH2",#N/A,FALSE,"YTD"}</definedName>
    <definedName name="term">#REF!</definedName>
    <definedName name="termination_cost">#REF!</definedName>
    <definedName name="TermLoan">#REF!</definedName>
    <definedName name="TermLoanIntRate">#REF!</definedName>
    <definedName name="tert">#REF!</definedName>
    <definedName name="TES">#REF!</definedName>
    <definedName name="test">#REF!</definedName>
    <definedName name="TEST_1" hidden="1">{#N/A,#N/A,FALSE,"PMTABB";#N/A,#N/A,FALSE,"PMTABB"}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>#REF!</definedName>
    <definedName name="TEST70">#REF!</definedName>
    <definedName name="TEST71">#REF!</definedName>
    <definedName name="TEST72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#REF!</definedName>
    <definedName name="TEST80">#REF!</definedName>
    <definedName name="TEST81">#REF!</definedName>
    <definedName name="TEST82">#REF!</definedName>
    <definedName name="TEST83">#REF!</definedName>
    <definedName name="TEST9">#REF!</definedName>
    <definedName name="TestAdd">"Test RefersTo1"</definedName>
    <definedName name="teste" hidden="1">{#N/A,#N/A,FALSE,"Pharm";#N/A,#N/A,FALSE,"WWCM"}</definedName>
    <definedName name="teste_2" hidden="1">{#N/A,#N/A,FALSE,"Profit Status";#N/A,#N/A,FALSE,"Invest";#N/A,#N/A,FALSE,"Revenue";#N/A,#N/A,FALSE,"Variable Cost";#N/A,#N/A,FALSE,"Options &amp; Series"}</definedName>
    <definedName name="TESTHKEY">#REF!</definedName>
    <definedName name="testing" hidden="1">{#N/A,#N/A,FALSE,"Aging Summary";#N/A,#N/A,FALSE,"Ratio Analysis";#N/A,#N/A,FALSE,"Test 120 Day Accts";#N/A,#N/A,FALSE,"Tickmarks"}</definedName>
    <definedName name="testing_measuring">#REF!</definedName>
    <definedName name="TESTKEYS">#REF!</definedName>
    <definedName name="TestRange">#REF!</definedName>
    <definedName name="TESTVKEY">#REF!</definedName>
    <definedName name="tete" hidden="1">{#N/A,#N/A,FALSE,"Calc";#N/A,#N/A,FALSE,"Sensitivity";#N/A,#N/A,FALSE,"LT Earn.Dil.";#N/A,#N/A,FALSE,"Dil. AVP"}</definedName>
    <definedName name="tetretr" hidden="1">{#N/A,#N/A,FALSE,"QC REVIEW"}</definedName>
    <definedName name="tetrte" hidden="1">{#N/A,#N/A,FALSE,"QC REVIEW"}</definedName>
    <definedName name="text">#REF!</definedName>
    <definedName name="text1" hidden="1">{"'Sheet1'!$L$16"}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8</definedName>
    <definedName name="TextRefCopyRangeCount_1" hidden="1">2</definedName>
    <definedName name="texy">#REF!</definedName>
    <definedName name="tf" hidden="1">{"Performance Details",#N/A,FALSE,"Current Yr";"Performance Details",#N/A,FALSE,"Budget";"Performance Details",#N/A,FALSE,"Prior Year"}</definedName>
    <definedName name="tft" hidden="1">{#N/A,#N/A,TRUE,"constb"}</definedName>
    <definedName name="TG">#REF!</definedName>
    <definedName name="tg_ae_ex">#REF!</definedName>
    <definedName name="tg_ae_mh">#REF!</definedName>
    <definedName name="tg_ae_mi">#REF!</definedName>
    <definedName name="tg_ae_mlf">#REF!</definedName>
    <definedName name="tg_as_ex">#REF!</definedName>
    <definedName name="tg_as_mh">#REF!</definedName>
    <definedName name="tg_as_mi">#REF!</definedName>
    <definedName name="tg_as_mlf">#REF!</definedName>
    <definedName name="tg_brm_ae_ex">#REF!</definedName>
    <definedName name="tg_brm_ae_mh">#REF!</definedName>
    <definedName name="tg_brm_ae_mi">#REF!</definedName>
    <definedName name="tg_brm_ae_mlf">#REF!</definedName>
    <definedName name="tg_brm_as_ex">#REF!</definedName>
    <definedName name="tg_brm_as_mh">#REF!</definedName>
    <definedName name="tg_brm_as_mi">#REF!</definedName>
    <definedName name="tg_brm_as_mlf">#REF!</definedName>
    <definedName name="tg_brm_enc_ex">#REF!</definedName>
    <definedName name="tg_brm_enc_mh">#REF!</definedName>
    <definedName name="tg_brm_enc_mi">#REF!</definedName>
    <definedName name="tg_brm_enc_mlf">#REF!</definedName>
    <definedName name="tg_brm_prom_ex">#REF!</definedName>
    <definedName name="tg_brm_prom_mh">#REF!</definedName>
    <definedName name="tg_brm_prom_mi">#REF!</definedName>
    <definedName name="tg_brm_prom_mlf">#REF!</definedName>
    <definedName name="tg_enc_ex">#REF!</definedName>
    <definedName name="tg_enc_mh">#REF!</definedName>
    <definedName name="tg_enc_mi">#REF!</definedName>
    <definedName name="tg_enc_mlf">#REF!</definedName>
    <definedName name="tg_prom_ex">#REF!</definedName>
    <definedName name="tg_prom_mh">#REF!</definedName>
    <definedName name="tg_prom_mi">#REF!</definedName>
    <definedName name="tg_prom_mlf">#REF!</definedName>
    <definedName name="tgageaegbe" hidden="1">{#N/A,#N/A,FALSE,"Sales"}</definedName>
    <definedName name="tgg" hidden="1">{"A COM Detail YTD",#N/A,FALSE,"DATA";"B Exp Detail YTD",#N/A,FALSE,"DATA"}</definedName>
    <definedName name="TGHG" hidden="1">{#N/A,#N/A,FALSE,"SUMMARY";#N/A,#N/A,FALSE,"SUMMARY"}</definedName>
    <definedName name="TGHG_1" hidden="1">{#N/A,#N/A,FALSE,"SUMMARY";#N/A,#N/A,FALSE,"SUMMARY"}</definedName>
    <definedName name="TGHG_2" hidden="1">{#N/A,#N/A,FALSE,"SUMMARY";#N/A,#N/A,FALSE,"SUMMARY"}</definedName>
    <definedName name="TGHG_3" hidden="1">{#N/A,#N/A,FALSE,"SUMMARY";#N/A,#N/A,FALSE,"SUMMARY"}</definedName>
    <definedName name="TGHG_4" hidden="1">{#N/A,#N/A,FALSE,"SUMMARY";#N/A,#N/A,FALSE,"SUMMARY"}</definedName>
    <definedName name="TGTFGF" hidden="1">{TRUE,TRUE,-1.25,-15.5,484.5,255,FALSE,FALSE,TRUE,FALSE,0,2,16,1,6,13,5,4,TRUE,TRUE,3,TRUE,1,TRUE,75,"Swvu.A.","ACwvu.A.",#N/A,FALSE,FALSE,0.2,0.22,1,0.641,2,"&amp;L&amp;""Arial,Bold""&amp;11Essar Projects LimitedEOL Refinery Project&amp;C&amp;""Arial,Bold""&amp;14TOTAL REFINERY PROJECTREFINERY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">#REF!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_PLASTIC_in_KUSD">#REF!</definedName>
    <definedName name="Thail.2" hidden="1">{#N/A,#N/A,FALSE,"Umsatz 99";#N/A,#N/A,FALSE,"ER 99 "}</definedName>
    <definedName name="thdt">#REF!</definedName>
    <definedName name="the" hidden="1">{#N/A,#N/A,FALSE,"gc (2)"}</definedName>
    <definedName name="thebank">#REF!</definedName>
    <definedName name="Thermax">#REF!</definedName>
    <definedName name="thinh">#REF!</definedName>
    <definedName name="thirdmnthqtr">#REF!</definedName>
    <definedName name="Thirty_From">#REF!</definedName>
    <definedName name="Thirty_to">#REF!</definedName>
    <definedName name="THNEN" hidden="1">{#N/A,#N/A,FALSE,"Tabl. FB300";#N/A,#N/A,FALSE,"Tabl. FB350";#N/A,#N/A,FALSE,"Tabl. FB400";#N/A,#N/A,FALSE,"Tabl. FB500";#N/A,#N/A,FALSE,"Tabl. FS090"}</definedName>
    <definedName name="thom">#REF!</definedName>
    <definedName name="thou">#REF!</definedName>
    <definedName name="THRA">#REF!</definedName>
    <definedName name="threemonthprice">#REF!</definedName>
    <definedName name="ThreeMonthsBefore">#REF!</definedName>
    <definedName name="threeyearsago">#REF!</definedName>
    <definedName name="Threshold">#REF!</definedName>
    <definedName name="THTH" hidden="1">{#N/A,#N/A,FALSE,"TOWNSHIP"}</definedName>
    <definedName name="THTH_1" hidden="1">{#N/A,#N/A,FALSE,"TOWNSHIP"}</definedName>
    <definedName name="THTH_2" hidden="1">{#N/A,#N/A,FALSE,"TOWNSHIP"}</definedName>
    <definedName name="THTH_3" hidden="1">{#N/A,#N/A,FALSE,"TOWNSHIP"}</definedName>
    <definedName name="THTH_4" hidden="1">{#N/A,#N/A,FALSE,"TOWNSHIP"}</definedName>
    <definedName name="thue">6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cker">#REF!</definedName>
    <definedName name="TICKET">#REF!</definedName>
    <definedName name="Tien">#REF!</definedName>
    <definedName name="Tim_lan_xuat_hien">#REF!</definedName>
    <definedName name="tim_xuat_hien">#REF!</definedName>
    <definedName name="Time">#REF!</definedName>
    <definedName name="Time_BoYR">#REF!</definedName>
    <definedName name="Time_efficiency">#REF!</definedName>
    <definedName name="Time_Period">#REF!</definedName>
    <definedName name="TIMES">#REF!</definedName>
    <definedName name="TimeSheetOnProjects">#REF!</definedName>
    <definedName name="timing">#REF!</definedName>
    <definedName name="TIP_acc">#REF!</definedName>
    <definedName name="TIP_COA">#REF!</definedName>
    <definedName name="TITAN">#REF!</definedName>
    <definedName name="title">#REF!</definedName>
    <definedName name="TITLES">#REF!</definedName>
    <definedName name="TLBL">#REF!</definedName>
    <definedName name="TLC" hidden="1">{#N/A,#N/A,FALSE,"QC REVIEW"}</definedName>
    <definedName name="tld">#REF!</definedName>
    <definedName name="Tle">#REF!</definedName>
    <definedName name="TLG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TLNOI">#REF!</definedName>
    <definedName name="TLT">#REF!</definedName>
    <definedName name="TLT_16">#REF!</definedName>
    <definedName name="TLT_17">#REF!</definedName>
    <definedName name="TLT_4">#REF!</definedName>
    <definedName name="tluong">#REF!</definedName>
    <definedName name="tly">#REF!</definedName>
    <definedName name="TLYPS" hidden="1">{#N/A,#N/A,FALSE,"Aging Summary";#N/A,#N/A,FALSE,"Ratio Analysis";#N/A,#N/A,FALSE,"Test 120 Day Accts";#N/A,#N/A,FALSE,"Tickmarks"}</definedName>
    <definedName name="TM">#REF!</definedName>
    <definedName name="TM_PA">#REF!</definedName>
    <definedName name="tmkk_control" hidden="1">{"'August 2000'!$A$1:$J$101"}</definedName>
    <definedName name="TML_control" hidden="1">{"'August 2000'!$A$1:$J$101"}</definedName>
    <definedName name="tmp" hidden="1">{#N/A,#N/A,FALSE,"Aging Summary";#N/A,#N/A,FALSE,"Ratio Analysis";#N/A,#N/A,FALSE,"Test 120 Day Accts";#N/A,#N/A,FALSE,"Tickmarks"}</definedName>
    <definedName name="tmto" hidden="1">{"detail",#N/A,FALSE,"mfg";"summary",#N/A,FALSE,"mfg"}</definedName>
    <definedName name="tn">#REF!</definedName>
    <definedName name="tnbs" hidden="1">#REF!</definedName>
    <definedName name="TND">#REF!</definedName>
    <definedName name="TO">#REF!</definedName>
    <definedName name="Today">#REF!</definedName>
    <definedName name="TODAYSFPL">#REF!</definedName>
    <definedName name="TOL">#N/A</definedName>
    <definedName name="Toledo" hidden="1">{#N/A,#N/A,FALSE,"BALLANTINE´S ";#N/A,#N/A,FALSE,"FUNDADOR"}</definedName>
    <definedName name="ton">#REF!</definedName>
    <definedName name="TONAS">#REF!</definedName>
    <definedName name="Tong">#REF!</definedName>
    <definedName name="Tong_nhom">#REF!</definedName>
    <definedName name="tongcong">#REF!</definedName>
    <definedName name="TOOLING">#REF!</definedName>
    <definedName name="Tooling_Operation_Description">#REF!</definedName>
    <definedName name="Toolmain">#REF!</definedName>
    <definedName name="ToolTable">#REF!</definedName>
    <definedName name="TOP">#REF!</definedName>
    <definedName name="Top25_4">#REF!</definedName>
    <definedName name="top25120_13">#REF!</definedName>
    <definedName name="top25120_21">#REF!</definedName>
    <definedName name="Top25name">#REF!</definedName>
    <definedName name="top25name120">#REF!</definedName>
    <definedName name="top25name120_13">#REF!</definedName>
    <definedName name="top25name120_21">#REF!</definedName>
    <definedName name="Top25value">#REF!</definedName>
    <definedName name="Top25value_4">#REF!</definedName>
    <definedName name="top25value120">#REF!</definedName>
    <definedName name="top25value120_13">#REF!</definedName>
    <definedName name="top25value120_21">#REF!</definedName>
    <definedName name="TOPE">#REF!</definedName>
    <definedName name="topedition">#REF!</definedName>
    <definedName name="TopEx.">#REF!</definedName>
    <definedName name="TOPFBTDEC0506" hidden="1">{#N/A,#N/A,FALSE,"PMTABB";#N/A,#N/A,FALSE,"PMTABB"}</definedName>
    <definedName name="TOPFBTDEC0506_1" hidden="1">{#N/A,#N/A,FALSE,"PMTABB";#N/A,#N/A,FALSE,"PMTABB"}</definedName>
    <definedName name="Topic1">#REF!</definedName>
    <definedName name="Topic3">#REF!</definedName>
    <definedName name="Topic4">#REF!</definedName>
    <definedName name="Topic5">#REF!</definedName>
    <definedName name="TORPL">#REF!</definedName>
    <definedName name="TOT">#REF!</definedName>
    <definedName name="TOT.ST">#REF!</definedName>
    <definedName name="TOT_16">#REF!</definedName>
    <definedName name="TOT_17">#REF!</definedName>
    <definedName name="TOT_4">#REF!</definedName>
    <definedName name="tot_asset">#REF!</definedName>
    <definedName name="Tot_knw_Xfoot">#REF!</definedName>
    <definedName name="tot_lia">#REF!</definedName>
    <definedName name="Tot_lik_Xfoot">#REF!</definedName>
    <definedName name="Tot_Outstand_Check">#REF!</definedName>
    <definedName name="TOT_SUM">#REF!</definedName>
    <definedName name="TOT_Without_Matching_BILL_PROD">#REF!</definedName>
    <definedName name="TOT_Without_Matching_BILL_PROD_Without_Matching_THRESH">#REF!</definedName>
    <definedName name="TotABITACTY2M5">#REF!</definedName>
    <definedName name="TOTAL">#N/A</definedName>
    <definedName name="Total_Amount">#REF!</definedName>
    <definedName name="total_arbitration">#REF!</definedName>
    <definedName name="Total_Business_Report">#REF!</definedName>
    <definedName name="Total_CFA_s">#REF!</definedName>
    <definedName name="Total_Compensation_Expense">#REF!</definedName>
    <definedName name="Total_cost_sum">#REF!</definedName>
    <definedName name="Total_Costs">#REF!</definedName>
    <definedName name="total_exposure_proj_rate">#REF!</definedName>
    <definedName name="total_income">#REF!</definedName>
    <definedName name="Total_Interest">#REF!</definedName>
    <definedName name="total_jan">#REF!</definedName>
    <definedName name="Total_Labor_Cost_Revenue">#REF!</definedName>
    <definedName name="Total_Market">#REF!</definedName>
    <definedName name="Total_Model_Sales">#REF!</definedName>
    <definedName name="TOTAL_OF_APPLICATION_OF_FUNDS">#REF!</definedName>
    <definedName name="total_other">#REF!</definedName>
    <definedName name="Total_Pay">#REF!</definedName>
    <definedName name="Total_Payment">Scheduled_Payment+Extra_Payment</definedName>
    <definedName name="Total_payments">#N/A</definedName>
    <definedName name="Total_Penetration">#REF!</definedName>
    <definedName name="Total_rec_amount">#REF!</definedName>
    <definedName name="Total_Studios">#REF!</definedName>
    <definedName name="total1">#REF!</definedName>
    <definedName name="total10">#REF!</definedName>
    <definedName name="total11">#REF!</definedName>
    <definedName name="total12">#REF!</definedName>
    <definedName name="total120">#REF!</definedName>
    <definedName name="total1q">#REF!</definedName>
    <definedName name="total2">#REF!</definedName>
    <definedName name="TOTAL2P">#REF!,#REF!,#REF!,#REF!,#REF!,#REF!,#REF!,#REF!,#REF!,#REF!,#REF!,#REF!,#REF!,#REF!,#REF!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Assets">CapitalEmployed+CurrentLiab</definedName>
    <definedName name="TotalCommitted">#REF!</definedName>
    <definedName name="totald">#REF!</definedName>
    <definedName name="TotalDebt">#N/A</definedName>
    <definedName name="TotalExpectedTotalExpenditure">#REF!</definedName>
    <definedName name="TotalExpenditureToDate">#REF!</definedName>
    <definedName name="totallist">#REF!</definedName>
    <definedName name="TotalLocal">#REF!</definedName>
    <definedName name="totalmv97">#REF!</definedName>
    <definedName name="TotalPercentSanctioned">#REF!</definedName>
    <definedName name="TotalRent">#REF!</definedName>
    <definedName name="TotalReqs">#REF!</definedName>
    <definedName name="TOTALS_1998">#REF!</definedName>
    <definedName name="TotalSanctioned">#REF!</definedName>
    <definedName name="Totalsourcesoffunds">#REF!</definedName>
    <definedName name="TotalTime">#REF!</definedName>
    <definedName name="TotalUSD">#REF!</definedName>
    <definedName name="TOTASS">#REF!</definedName>
    <definedName name="TotCogsActY1">#REF!</definedName>
    <definedName name="TotCogsActY2">#REF!</definedName>
    <definedName name="TotCogsBaseline">#REF!</definedName>
    <definedName name="TotCogsFcstY1">#REF!</definedName>
    <definedName name="TotCogsFcstY2">#REF!</definedName>
    <definedName name="TotData">#REF!</definedName>
    <definedName name="TotEBITACTY1M1">#REF!</definedName>
    <definedName name="TotEBITACTY1M10">#REF!</definedName>
    <definedName name="TotEBITACTY1M11">#REF!</definedName>
    <definedName name="TotEBITACTY1M2">#REF!</definedName>
    <definedName name="TotEBITACTY1M3">#REF!</definedName>
    <definedName name="TotEBITACTY1M4">#REF!</definedName>
    <definedName name="TotEBITACTY1M5">#REF!</definedName>
    <definedName name="TotEBITACTY1M6">#REF!</definedName>
    <definedName name="TotEBITACTY1M7">#REF!</definedName>
    <definedName name="TotEBITACTY1M8">#REF!</definedName>
    <definedName name="TotEBITACTY1M9">#REF!</definedName>
    <definedName name="TotEBITACTY1Tot">#REF!</definedName>
    <definedName name="TotEBITACTY2M1">#REF!</definedName>
    <definedName name="TotEBITACTY2M10">#REF!</definedName>
    <definedName name="TotEBITACTY2M11">#REF!</definedName>
    <definedName name="TotEBITACTY2M12">#REF!</definedName>
    <definedName name="TotEBITACTY2M2">#REF!</definedName>
    <definedName name="TotEBITACTY2M3">#REF!</definedName>
    <definedName name="TotEBITACTY2M4">#REF!</definedName>
    <definedName name="TotEBITACTY2M6">#REF!</definedName>
    <definedName name="TotEBITACTY2M7">#REF!</definedName>
    <definedName name="TotEBITACTY2M8">#REF!</definedName>
    <definedName name="TotEBITACTY2M9">#REF!</definedName>
    <definedName name="TotEBITACTY2Tot">#REF!</definedName>
    <definedName name="TotEBITCFActY1">#REF!</definedName>
    <definedName name="TotEBITCFActY2">#REF!</definedName>
    <definedName name="TotEBITCFBaseline">#REF!</definedName>
    <definedName name="TotEBITCFFCSTY1">#REF!</definedName>
    <definedName name="TotEBITCFFcstY2">#REF!</definedName>
    <definedName name="TotEBITFcstY1M1">#REF!</definedName>
    <definedName name="TotEBITFCSTY1M10">#REF!</definedName>
    <definedName name="TotEBITFCSTY1M11">#REF!</definedName>
    <definedName name="TotEBITFCSTY1M12">#REF!</definedName>
    <definedName name="TotEBITFcstY1M2">#REF!</definedName>
    <definedName name="TotEBITFcstY1M3">#REF!</definedName>
    <definedName name="TotEBITFCSTY1M4">#REF!</definedName>
    <definedName name="TotEBITFCSTY1M5">#REF!</definedName>
    <definedName name="TotEBITFCSTY1M6">#REF!</definedName>
    <definedName name="TotEBITFCSTY1M7">#REF!</definedName>
    <definedName name="TotEBITFCSTY1M8">#REF!</definedName>
    <definedName name="TotEBITFCSTY1M9">#REF!</definedName>
    <definedName name="TotEBITFCSTY1Tot">#REF!</definedName>
    <definedName name="TotEBITFCSTY2M1">#REF!</definedName>
    <definedName name="TotEBITFCSTY2M10">#REF!</definedName>
    <definedName name="TotEBITFCSTY2M11">#REF!</definedName>
    <definedName name="TotEBITFCSTY2M12">#REF!</definedName>
    <definedName name="TotEBITFCSTY2M2">#REF!</definedName>
    <definedName name="TotEBITFCSTY2M3">#REF!</definedName>
    <definedName name="TotEBITFCSTY2M4">#REF!</definedName>
    <definedName name="TotEBITFCSTY2M5">#REF!</definedName>
    <definedName name="TotEBITFCSTY2M6">#REF!</definedName>
    <definedName name="TotEBITFCSTY2M7">#REF!</definedName>
    <definedName name="TotEBITFCSTY2M8">#REF!</definedName>
    <definedName name="TotEBITFCSTY2M9">#REF!</definedName>
    <definedName name="TotEBITFCSTY2TOT">#REF!</definedName>
    <definedName name="TotLiab">#REF!</definedName>
    <definedName name="totofbfloss.BusLossOthThanSpecLossCF8">#REF!</definedName>
    <definedName name="totofbfloss.HPLossCF8">#REF!</definedName>
    <definedName name="totofbfloss.LossFrmSpecBusCF8">#REF!</definedName>
    <definedName name="totofbfloss.LTCGLossCF8">#REF!</definedName>
    <definedName name="totofbfloss.OthSrcLossRaceHorseCF8">#REF!</definedName>
    <definedName name="totofbfloss.STCGLossCF8">#REF!</definedName>
    <definedName name="TotOthCostActY1">#REF!</definedName>
    <definedName name="TotOthCostActY2">#REF!</definedName>
    <definedName name="TotOthCostFcstY2">#REF!</definedName>
    <definedName name="TotOtherCostBaseline">#REF!</definedName>
    <definedName name="TotOtherCostFcstY1">#REF!</definedName>
    <definedName name="TotProductivityActY1">#REF!</definedName>
    <definedName name="TotProductivityActY2">#REF!</definedName>
    <definedName name="TotProductivityBaseline">#REF!</definedName>
    <definedName name="TotProductivityFcstY1">#REF!</definedName>
    <definedName name="TotProductivityFcstY2">#REF!</definedName>
    <definedName name="TotProjCostAct1Y2">#REF!</definedName>
    <definedName name="TotProjCostActY1">#REF!</definedName>
    <definedName name="TotProjCostActY2">#REF!</definedName>
    <definedName name="TotProjCostFcstY1">#REF!</definedName>
    <definedName name="TotProjCostFcstY2">#REF!</definedName>
    <definedName name="TotRevActY1">#REF!</definedName>
    <definedName name="TotRevActY2">#REF!</definedName>
    <definedName name="TotRevBaseline">#REF!</definedName>
    <definedName name="TotRevEBITActY1">#REF!</definedName>
    <definedName name="TotRevEBITActY2">#REF!</definedName>
    <definedName name="TotRevEBITBaseline">#REF!</definedName>
    <definedName name="TotRevEBITFcstY1">#REF!</definedName>
    <definedName name="TotRevEBITFcstY2">#REF!</definedName>
    <definedName name="TotRevFcstY1">#REF!</definedName>
    <definedName name="TotRevFcstY2">#REF!</definedName>
    <definedName name="TotSalActY1">#REF!</definedName>
    <definedName name="TotSalActY2">#REF!</definedName>
    <definedName name="TotSalBaseline">#REF!</definedName>
    <definedName name="TotSalFcstY1">#REF!</definedName>
    <definedName name="TotSalFcstY2">#REF!</definedName>
    <definedName name="TP">#REF!</definedName>
    <definedName name="TP_OLD">#REF!</definedName>
    <definedName name="tpl">#REF!</definedName>
    <definedName name="TPLRP">#REF!</definedName>
    <definedName name="TPNL">#REF!</definedName>
    <definedName name="TPP">#REF!</definedName>
    <definedName name="TQM">#REF!,#REF!</definedName>
    <definedName name="tr">#REF!</definedName>
    <definedName name="TR_cost">#REF!</definedName>
    <definedName name="TRA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king">#REF!</definedName>
    <definedName name="TRAD">#REF!</definedName>
    <definedName name="TRADE2">#REF!</definedName>
    <definedName name="TRADES">#REF!</definedName>
    <definedName name="TRAIL">#REF!</definedName>
    <definedName name="Training">#REF!</definedName>
    <definedName name="TRAM">#REF!</definedName>
    <definedName name="TRANS">#REF!</definedName>
    <definedName name="TransactionPrice">#REF!</definedName>
    <definedName name="transfer_inSheet4">#REF!</definedName>
    <definedName name="TRANSMISSION__EQUIPMENT">#REF!</definedName>
    <definedName name="TRATAMIENTOS">#REF!</definedName>
    <definedName name="TRAVEL">#REF!</definedName>
    <definedName name="travelallocation">#REF!</definedName>
    <definedName name="TRAVL">#REF!</definedName>
    <definedName name="TRBL">#REF!</definedName>
    <definedName name="TRBOR">#REF!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>#REF!</definedName>
    <definedName name="TREASURY">#REF!</definedName>
    <definedName name="tredf" hidden="1">{#N/A,#N/A,FALSE,"FFM"}</definedName>
    <definedName name="TREE1">#REF!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ND">#REF!</definedName>
    <definedName name="trf">#REF!</definedName>
    <definedName name="Trg">#REF!</definedName>
    <definedName name="TRIA">#REF!</definedName>
    <definedName name="TRIAL">#REF!</definedName>
    <definedName name="Trial_Balance_Alpha">#REF!</definedName>
    <definedName name="Trial_new">#REF!</definedName>
    <definedName name="trial1">#REF!</definedName>
    <definedName name="Trial1_new">#REF!</definedName>
    <definedName name="trialbalance">#REF!</definedName>
    <definedName name="trigger_all">#REF!</definedName>
    <definedName name="Trimetazidin">#REF!</definedName>
    <definedName name="TRNOI">#REF!</definedName>
    <definedName name="TRNS.FROM.MA.TO.GLOBAL">#REF!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PL">#REF!</definedName>
    <definedName name="TRS2Q2">#REF!</definedName>
    <definedName name="TRS2Q2_4">#REF!</definedName>
    <definedName name="TRS3Q2">#REF!</definedName>
    <definedName name="TRS3Q2_4">#REF!</definedName>
    <definedName name="trt">#REF!</definedName>
    <definedName name="TR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ucklease">#REF!</definedName>
    <definedName name="TrusSteel">#REF!</definedName>
    <definedName name="TRUSTC">#REF!</definedName>
    <definedName name="Trvdpr">#REF!</definedName>
    <definedName name="tryeuyit" hidden="1">{#N/A,#N/A,FALSE,"Pharm";#N/A,#N/A,FALSE,"WWCM"}</definedName>
    <definedName name="tryry" hidden="1">{#N/A,#N/A,FALSE,"QC REVIEW"}</definedName>
    <definedName name="tSelVente">#REF!</definedName>
    <definedName name="TSW">#REF!</definedName>
    <definedName name="TT">#REF!</definedName>
    <definedName name="tt.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am">#REF!</definedName>
    <definedName name="ttao">#REF!</definedName>
    <definedName name="ttbt">#REF!</definedName>
    <definedName name="TTBTTTBVRATE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tthi">#REF!</definedName>
    <definedName name="TTL_COS">#N/A</definedName>
    <definedName name="ttl_dscnt">#REF!</definedName>
    <definedName name="TTL_SALE">#N/A</definedName>
    <definedName name="TTL_UC">#N/A</definedName>
    <definedName name="TTLB1">#REF!</definedName>
    <definedName name="TTLB2">#REF!</definedName>
    <definedName name="TTLB3">#REF!</definedName>
    <definedName name="TTLSALE">#N/A</definedName>
    <definedName name="TtoEBITACTY1M12">#REF!</definedName>
    <definedName name="TTT">#REF!</definedName>
    <definedName name="ttthtr" hidden="1">{#N/A,#N/A,FALSE,"TOWNSHIP"}</definedName>
    <definedName name="ttthtr_1" hidden="1">{#N/A,#N/A,FALSE,"TOWNSHIP"}</definedName>
    <definedName name="ttthtr_2" hidden="1">{#N/A,#N/A,FALSE,"TOWNSHIP"}</definedName>
    <definedName name="ttthtr_3" hidden="1">{#N/A,#N/A,FALSE,"TOWNSHIP"}</definedName>
    <definedName name="ttthtr_4" hidden="1">{#N/A,#N/A,FALSE,"TOWNSHIP"}</definedName>
    <definedName name="tttt" hidden="1">{"'OBT_6M_30_6'!$S$1:$AE$53"}</definedName>
    <definedName name="TTTTT">#REF!</definedName>
    <definedName name="TTTTTTTTTTTT" hidden="1">#REF!</definedName>
    <definedName name="ttttttyyyyyy">#N/A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BE_MC_OP">#REF!</definedName>
    <definedName name="TUBE_MC_YE_EST">#REF!</definedName>
    <definedName name="TUBE_MC_YTD_ACTUAL">#REF!</definedName>
    <definedName name="TUBE_MP_COMPLETE">#REF!</definedName>
    <definedName name="TUBE_MP_OP">#REF!</definedName>
    <definedName name="TUBE_MP_VOP">#REF!</definedName>
    <definedName name="TUBE_MP_YE_EST">#REF!</definedName>
    <definedName name="TUBE_MP_YTD_ACTUAL">#REF!</definedName>
    <definedName name="TUBE_MPI_COMPLETE">#REF!</definedName>
    <definedName name="TUBE_MPI_OP">#REF!</definedName>
    <definedName name="TUBE_MPI_YE_EST">#REF!</definedName>
    <definedName name="TUBE_MPI_YTD_ACTUAL">#REF!</definedName>
    <definedName name="TUBE_VCP_OP">#REF!</definedName>
    <definedName name="TUBE_VCP_YE_EST">#REF!</definedName>
    <definedName name="TUBE_VCP_YTD_ACTUAL">#REF!</definedName>
    <definedName name="TUNG">#REF!</definedName>
    <definedName name="Turbine">#REF!</definedName>
    <definedName name="turd" hidden="1">{"detail",#N/A,FALSE,"mfg";"summary",#N/A,FALSE,"mfg"}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wd">#REF!</definedName>
    <definedName name="twertert" hidden="1">{#N/A,#N/A,FALSE,"COMP"}</definedName>
    <definedName name="TWO">#REF!</definedName>
    <definedName name="TwoMonthsBefore">#REF!</definedName>
    <definedName name="twoyrsago">#REF!</definedName>
    <definedName name="ty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ty_le">#REF!</definedName>
    <definedName name="ty_le_BTN">#REF!</definedName>
    <definedName name="Ty_le1">#REF!</definedName>
    <definedName name="tyff" hidden="1">{#N/A,#N/A,FALSE,"PGW"}</definedName>
    <definedName name="tyff_2" hidden="1">{#N/A,#N/A,FALSE,"PGW"}</definedName>
    <definedName name="tyff_3" hidden="1">{#N/A,#N/A,FALSE,"PGW"}</definedName>
    <definedName name="tyff_4" hidden="1">{#N/A,#N/A,FALSE,"PGW"}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PE">#REF!</definedName>
    <definedName name="tyr" hidden="1">{#N/A,#N/A,FALSE,"QC REVIEW"}</definedName>
    <definedName name="tyryru" hidden="1">{#N/A,#N/A,FALSE,"QC REVIEW"}</definedName>
    <definedName name="tytrrty" hidden="1">{#N/A,#N/A,FALSE,"QC REVIEW"}</definedName>
    <definedName name="tyu" hidden="1">{"oct_res_comm",#N/A,FALSE,"VarToBud"}</definedName>
    <definedName name="tyui" hidden="1">{"ICD Details",#N/A,FALSE,"Current Yr";"ICD Details",#N/A,FALSE,"Budget";"ICD Details",#N/A,FALSE,"Prior Year"}</definedName>
    <definedName name="tyutytyi" hidden="1">{#N/A,#N/A,FALSE,"Pharm";#N/A,#N/A,FALSE,"WWCM"}</definedName>
    <definedName name="tyyufkjkhjd" hidden="1">{#N/A,#N/A,FALSE,"Pharm";#N/A,#N/A,FALSE,"WWCM"}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>#REF!</definedName>
    <definedName name="U_11_FG_Variance">#REF!</definedName>
    <definedName name="U_6_RM_Variance">#REF!</definedName>
    <definedName name="u°_io_">#REF!</definedName>
    <definedName name="ú°_ìò_">#REF!</definedName>
    <definedName name="U30a57">#REF!</definedName>
    <definedName name="UC" hidden="1">{"A Performance Report",#N/A,FALSE,"%Performance"}</definedName>
    <definedName name="UÇà">#REF!</definedName>
    <definedName name="UER">#REF!</definedName>
    <definedName name="UER_16">#REF!</definedName>
    <definedName name="UER_17">#REF!</definedName>
    <definedName name="UER_4">#REF!</definedName>
    <definedName name="ueriouweio">#REF!</definedName>
    <definedName name="UFBL">#REF!</definedName>
    <definedName name="UFNOI">#REF!</definedName>
    <definedName name="UFPL">#REF!</definedName>
    <definedName name="UFPrn20000704101659">#REF!</definedName>
    <definedName name="UFPrn20010107172632">#REF!</definedName>
    <definedName name="UFPrn20010201083834">#REF!</definedName>
    <definedName name="UFPrn20010201085445">#REF!</definedName>
    <definedName name="UFPrn20010201104732">#REF!</definedName>
    <definedName name="UFPrn20010201111727">#REF!</definedName>
    <definedName name="UFPrn20010201111854">#REF!</definedName>
    <definedName name="UFPrn20010201112015">#REF!</definedName>
    <definedName name="UFPrn20010201112127">#REF!</definedName>
    <definedName name="UFPrn20010215091430">#REF!</definedName>
    <definedName name="UFPrn20010215100819">#REF!</definedName>
    <definedName name="UFPrn20010215100844">#REF!</definedName>
    <definedName name="UFPrn20010215100937">#REF!</definedName>
    <definedName name="UFPrn20010215101010">#REF!</definedName>
    <definedName name="UFPrn20010215101311">#REF!</definedName>
    <definedName name="UFPrn20010402142103">#REF!</definedName>
    <definedName name="UFPrn20010402142350">#REF!</definedName>
    <definedName name="UFPrn20010402142415">#REF!</definedName>
    <definedName name="UFPrn20010402142443">#REF!</definedName>
    <definedName name="UFPrn20010402142531">#REF!</definedName>
    <definedName name="UFPrn20010402142632">#REF!</definedName>
    <definedName name="UFPrn20010402143058">#REF!</definedName>
    <definedName name="UFPrn20010613101153">#REF!</definedName>
    <definedName name="UFPrn20010704144509">#REF!</definedName>
    <definedName name="UFPrn20011008090051">#REF!</definedName>
    <definedName name="UFPrn20011008090128">#REF!</definedName>
    <definedName name="UFPrn20011008090154">#REF!</definedName>
    <definedName name="UFPrn20011008090213">#REF!</definedName>
    <definedName name="UFPrn20011008090323">#REF!</definedName>
    <definedName name="UFPrn20011008094249">#REF!</definedName>
    <definedName name="UFPrn20011008094354">#REF!</definedName>
    <definedName name="UFPrn20011008094416">#REF!</definedName>
    <definedName name="UFPrn20011008094649">#REF!</definedName>
    <definedName name="UFPrn20011008094717">#REF!</definedName>
    <definedName name="UFPrn20011008094747">#REF!</definedName>
    <definedName name="UFPrn20011008094816">#REF!</definedName>
    <definedName name="UFPrn20011008094917">#REF!</definedName>
    <definedName name="UFPrn20011008094953">#REF!</definedName>
    <definedName name="UFPrn20011008095316">#REF!</definedName>
    <definedName name="UFPrn20011008095335">#REF!</definedName>
    <definedName name="UFPrn20011008095412">#REF!</definedName>
    <definedName name="UFPrn20011008095434">#REF!</definedName>
    <definedName name="UFPrn20011008095454">#REF!</definedName>
    <definedName name="UFPrn20011008095534">#REF!</definedName>
    <definedName name="UFPrn20011008152420">#REF!</definedName>
    <definedName name="UFPrn20011009151416">#REF!</definedName>
    <definedName name="UFPrn20011102084039">#REF!</definedName>
    <definedName name="UFPrn20011102084106">#REF!</definedName>
    <definedName name="UFPrn20011102084246">#REF!</definedName>
    <definedName name="UFPrn20011102084829">#REF!</definedName>
    <definedName name="UFPrn20011102084912">#REF!</definedName>
    <definedName name="UFPrn20011102085107">#REF!</definedName>
    <definedName name="UFPrn20011102090021">#REF!</definedName>
    <definedName name="UFPrn20011106075359">#REF!</definedName>
    <definedName name="UFPrn20020207093333">#REF!</definedName>
    <definedName name="UFPrn20020306135041">#REF!</definedName>
    <definedName name="UFPrn20020306135450">#REF!</definedName>
    <definedName name="UFPrn20020403164117">#REF!</definedName>
    <definedName name="UFPrn20020403195652">#REF!</definedName>
    <definedName name="UFPrn20020403195719">#REF!</definedName>
    <definedName name="UFPrn20020510090511">#REF!</definedName>
    <definedName name="UFPrn20020601105928">#REF!</definedName>
    <definedName name="UFPrn20020629092327">#REF!</definedName>
    <definedName name="UFPrn20020629092416">#REF!</definedName>
    <definedName name="UFPrn20020629092455">#REF!</definedName>
    <definedName name="UFPrn20020629092523">#REF!</definedName>
    <definedName name="UFPrn20020629101152">#REF!</definedName>
    <definedName name="UFPrn20020629101228">#REF!</definedName>
    <definedName name="UFPrn20020805094058">#REF!</definedName>
    <definedName name="UFPrn20020805094236">#REF!</definedName>
    <definedName name="UFPrn20020805094317">#REF!</definedName>
    <definedName name="UFPrn20020805102257">#REF!</definedName>
    <definedName name="UFPrn20020805102334">#REF!</definedName>
    <definedName name="UFPrn20020902142234">#REF!</definedName>
    <definedName name="UFPrn20021018092816">#REF!</definedName>
    <definedName name="UFPrn20021018112713">#REF!</definedName>
    <definedName name="UFPrn20021021093624">#REF!</definedName>
    <definedName name="UFPrn20030102155427">#REF!</definedName>
    <definedName name="uh" hidden="1">{"detail",#N/A,FALSE,"mfg";"summary",#N/A,FALSE,"mfg"}</definedName>
    <definedName name="u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HJ" hidden="1">{#N/A,#N/A,FALSE,"Tabl. FB300";#N/A,#N/A,FALSE,"Tabl. FB350";#N/A,#N/A,FALSE,"Tabl. FB400";#N/A,#N/A,FALSE,"Tabl. FB500";#N/A,#N/A,FALSE,"Tabl. FS090"}</definedName>
    <definedName name="uhjk">#REF!</definedName>
    <definedName name="ui" hidden="1">{#N/A,#N/A,TRUE,"SCR-LA 2000";#N/A,#N/A,TRUE,"SCR-LA 2001";#N/A,#N/A,TRUE,"SCR-LA 2002";#N/A,#N/A,TRUE,"SCR-LA 2003"}</definedName>
    <definedName name="uiim" hidden="1">{"Pg1",#N/A,FALSE,"OpExYTDvsBud";"Pg2",#N/A,FALSE,"OpExYTDvsBud"}</definedName>
    <definedName name="uioui" hidden="1">{#N/A,#N/A,FALSE,"COMP"}</definedName>
    <definedName name="uiu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uiui" hidden="1">{#N/A,#N/A,FALSE,"COMP"}</definedName>
    <definedName name="uiyg" hidden="1">{#N/A,#N/A,FALSE,"COMP"}</definedName>
    <definedName name="uiyt">#N/A</definedName>
    <definedName name="ukdata">#REF!</definedName>
    <definedName name="ukhh">#N/A</definedName>
    <definedName name="U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nbilled_new1">#REF!</definedName>
    <definedName name="UNBL">#REF!</definedName>
    <definedName name="UnHideHist">#N/A</definedName>
    <definedName name="UnichamDuty7">#REF!</definedName>
    <definedName name="UnichamStock7">#REF!</definedName>
    <definedName name="UnichamVAT7">#REF!</definedName>
    <definedName name="unidades">#REF!</definedName>
    <definedName name="UniDuty5">#REF!</definedName>
    <definedName name="UniDuty8">#REF!</definedName>
    <definedName name="UniStock5">#REF!</definedName>
    <definedName name="UniStock8">#REF!</definedName>
    <definedName name="unit">#REF!</definedName>
    <definedName name="unit_code_List">#N/A</definedName>
    <definedName name="Unit_Cost">#REF!</definedName>
    <definedName name="UNITE">#REF!</definedName>
    <definedName name="UnitName">#REF!</definedName>
    <definedName name="units">#REF!</definedName>
    <definedName name="UNIV">#REF!</definedName>
    <definedName name="UniVAT5">#REF!</definedName>
    <definedName name="UniVAT8">#REF!</definedName>
    <definedName name="Universal" hidden="1">{"A COM Detail YTD",#N/A,FALSE,"DATA";"B Exp Detail YTD",#N/A,FALSE,"DATA"}</definedName>
    <definedName name="unnamed">"$#REF!.$A$175:$#REF!.$BC$200"</definedName>
    <definedName name="unnamed_4">#REF!</definedName>
    <definedName name="unnamed_6">#REF!</definedName>
    <definedName name="unnamed_7">#REF!</definedName>
    <definedName name="UNNOI">#REF!</definedName>
    <definedName name="UNO">#REF!</definedName>
    <definedName name="UNPL">#REF!</definedName>
    <definedName name="Unprotect_Sheets">#REF!</definedName>
    <definedName name="unrealized_gain">#REF!</definedName>
    <definedName name="unsec">#REF!</definedName>
    <definedName name="Unsec.Loans">#REF!</definedName>
    <definedName name="UNSEC_LOAN">#REF!</definedName>
    <definedName name="unsecured">#REF!</definedName>
    <definedName name="unsecured_loans">#REF!</definedName>
    <definedName name="UnsecuredLoan">#REF!</definedName>
    <definedName name="UnsecuredLoanIntRate">#REF!</definedName>
    <definedName name="Untitled">#REF!</definedName>
    <definedName name="uokgf" hidden="1">{"'BGT2001'!$A$1:$AE$112"}</definedName>
    <definedName name="uortio" hidden="1">{"'BGT2001'!$A$1:$AE$112"}</definedName>
    <definedName name="UPG">#REF!</definedName>
    <definedName name="UPTO">#REF!</definedName>
    <definedName name="uq" hidden="1">{"detail",#N/A,FALSE,"mfg";"summary",#N/A,FALSE,"mfg"}</definedName>
    <definedName name="UR">#REF!</definedName>
    <definedName name="urdtyh">#REF!</definedName>
    <definedName name="URGM_New">#REF!</definedName>
    <definedName name="us" hidden="1">{#N/A,#N/A,FALSE,"Sheet1"}</definedName>
    <definedName name="us_asp">#REF!</definedName>
    <definedName name="us_bklg">#REF!</definedName>
    <definedName name="US_detail">#REF!</definedName>
    <definedName name="us_si">#REF!</definedName>
    <definedName name="USA">#REF!</definedName>
    <definedName name="usa_inv">#REF!</definedName>
    <definedName name="usa2data">#REF!</definedName>
    <definedName name="usact">#REF!</definedName>
    <definedName name="USAEXP">#REF!</definedName>
    <definedName name="usage">#REF!</definedName>
    <definedName name="USAIMP">#REF!</definedName>
    <definedName name="USAMSAprInv">#REF!</definedName>
    <definedName name="USAMSAugInv">#REF!</definedName>
    <definedName name="USAMSDecInv">#REF!</definedName>
    <definedName name="USAMSFebInv">#REF!</definedName>
    <definedName name="USAMSJanInv">#REF!</definedName>
    <definedName name="USAMSJulInv">#REF!</definedName>
    <definedName name="USAMSJunInv">#REF!</definedName>
    <definedName name="USAMSMarInv">#REF!</definedName>
    <definedName name="USAMSMayInv">#REF!</definedName>
    <definedName name="USAMSNovInv">#REF!</definedName>
    <definedName name="UScompanies">#REF!</definedName>
    <definedName name="usd">#REF!</definedName>
    <definedName name="USD.A">#REF!</definedName>
    <definedName name="USD.E">#REF!</definedName>
    <definedName name="USD_B">#REF!</definedName>
    <definedName name="USD_EX_SUMM">#REF!</definedName>
    <definedName name="USD_PDP">#REF!</definedName>
    <definedName name="USD_Rate">#REF!</definedName>
    <definedName name="USD_REC">#REF!</definedName>
    <definedName name="USDcashpaid">#REF!</definedName>
    <definedName name="USDcashrecd">#REF!</definedName>
    <definedName name="USDdivrecbl">#REF!</definedName>
    <definedName name="USDexp">#REF!</definedName>
    <definedName name="USDexppaybl">#REF!</definedName>
    <definedName name="USDHKD">#REF!</definedName>
    <definedName name="USDinc">#REF!</definedName>
    <definedName name="USDLEHMAN">#REF!</definedName>
    <definedName name="USDpayble">#REF!</definedName>
    <definedName name="USDrecble">#REF!</definedName>
    <definedName name="USDRMB">#REF!</definedName>
    <definedName name="USDSMERRILL">#REF!</definedName>
    <definedName name="USE">#REF!</definedName>
    <definedName name="UseExpUtility">FALSE</definedName>
    <definedName name="useNotes">#REF!</definedName>
    <definedName name="Usercount">#REF!</definedName>
    <definedName name="useText">#REF!</definedName>
    <definedName name="USG_MATCH">#REF!</definedName>
    <definedName name="usg_qry">#REF!</definedName>
    <definedName name="USL_DEB_Banks">#REF!</definedName>
    <definedName name="USL_DEB_Others">#REF!</definedName>
    <definedName name="USL_Fixed_Deposits">#REF!</definedName>
    <definedName name="usrCat">#REF!</definedName>
    <definedName name="usrNext1Period">#REF!</definedName>
    <definedName name="usrNext1Year">#REF!</definedName>
    <definedName name="usrNext2Year">#REF!</definedName>
    <definedName name="usrNext3Year">#REF!</definedName>
    <definedName name="usrNext4Qtr">#REF!</definedName>
    <definedName name="usrNext4Year">#REF!</definedName>
    <definedName name="usrNext5Period">#REF!</definedName>
    <definedName name="usrNext5Year">#REF!</definedName>
    <definedName name="usrNoteFlag">#REF!</definedName>
    <definedName name="usrNoteRange">#REF!</definedName>
    <definedName name="usrperiod">#REF!</definedName>
    <definedName name="usrPrior1Period">#REF!</definedName>
    <definedName name="usrPrior1Year">#REF!</definedName>
    <definedName name="usrPrior2Period">#REF!</definedName>
    <definedName name="usrPrior2Year">#REF!</definedName>
    <definedName name="usrPrior3Period">#REF!</definedName>
    <definedName name="usrPrior3Year">#REF!</definedName>
    <definedName name="usrPrior4Qtr">#REF!</definedName>
    <definedName name="usrPrior4Year">#REF!</definedName>
    <definedName name="usrPrior5Period">#REF!</definedName>
    <definedName name="usrPrior5Year">#REF!</definedName>
    <definedName name="usrUnitDesc">#REF!</definedName>
    <definedName name="usrWholeYear">#REF!</definedName>
    <definedName name="usryear">#REF!</definedName>
    <definedName name="usstd">#REF!</definedName>
    <definedName name="ut" hidden="1">{#N/A,"PURCHM",FALSE,"Business Analysis";#N/A,"SPADD",FALSE,"Business Analysis"}</definedName>
    <definedName name="utg" hidden="1">{#N/A,#N/A,FALSE,"Tabl. H1";#N/A,#N/A,FALSE,"Tabl. H2"}</definedName>
    <definedName name="UTIL">#REF!</definedName>
    <definedName name="UTILEP">#REF!</definedName>
    <definedName name="UTILITY">#REF!</definedName>
    <definedName name="UTILITY_SPECIFICATION">#REF!</definedName>
    <definedName name="UTL_SUMMARY">#REF!</definedName>
    <definedName name="utyur" hidden="1">{#N/A,#N/A,FALSE,"Financial";#N/A,#N/A,FALSE,"Balance Sheet";#N/A,#N/A,FALSE,"Income stmt";#N/A,#N/A,FALSE,"Ratio"}</definedName>
    <definedName name="uu" hidden="1">{"A COM Detail YTD",#N/A,FALSE,"DATA";"B Exp Detail YTD",#N/A,FALSE,"DATA"}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_control" hidden="1">{"'August 2000'!$A$1:$J$101"}</definedName>
    <definedName name="UUJNN?JNJ" hidden="1">{#N/A,#N/A,FALSE,"Tabl. G1";#N/A,#N/A,FALSE,"Tabl. G2"}</definedName>
    <definedName name="uuo" hidden="1">{#N/A,#N/A,FALSE,"QC REVIEW"}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YYYYYYYY" hidden="1">{#N/A,#N/A,FALSE,"Tabl. A1";#N/A,#N/A,FALSE,"Tabl. A1 b";#N/A,#N/A,FALSE,"Tabl. A2";#N/A,#N/A,FALSE,"Tabl. A2-1";#N/A,#N/A,FALSE,"Tabl. A2-2"}</definedName>
    <definedName name="uy" hidden="1">{#N/A,#N/A,FALSE,"Financial";#N/A,#N/A,FALSE,"Balance Sheet";#N/A,#N/A,FALSE,"Income stmt";#N/A,#N/A,FALSE,"Ratio"}</definedName>
    <definedName name="UYB" hidden="1">{#N/A,#N/A,FALSE,"Tabl. A1";#N/A,#N/A,FALSE,"Tabl. A1 b";#N/A,#N/A,FALSE,"Tabl. A2";#N/A,#N/A,FALSE,"Tabl. A2-1";#N/A,#N/A,FALSE,"Tabl. A2-2"}</definedName>
    <definedName name="UYKFK">#REF!</definedName>
    <definedName name="uyt" hidden="1">{#N/A,#N/A,FALSE,"FFM"}</definedName>
    <definedName name="uytr" hidden="1">{#N/A,"PURCHM",FALSE,"Business Analysis";#N/A,"SPADD",FALSE,"Business Analysis"}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">#REF!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C">#REF!</definedName>
    <definedName name="V_F">#REF!</definedName>
    <definedName name="V_M">#REF!</definedName>
    <definedName name="V_T">#REF!</definedName>
    <definedName name="VA">#REF!</definedName>
    <definedName name="vacall_1">#REF!</definedName>
    <definedName name="vacall_2">#REF!</definedName>
    <definedName name="vacall_3">#REF!</definedName>
    <definedName name="VACATION">#REF!</definedName>
    <definedName name="VAE">#REF!</definedName>
    <definedName name="VAL">#REF!</definedName>
    <definedName name="VALAC">#REF!</definedName>
    <definedName name="VALANT">#REF!</definedName>
    <definedName name="valid">#REF!</definedName>
    <definedName name="VALORI">#REF!</definedName>
    <definedName name="VALPR">#REF!</definedName>
    <definedName name="valuation">#REF!</definedName>
    <definedName name="Valuation_Beena">#REF!</definedName>
    <definedName name="VALUE">#REF!</definedName>
    <definedName name="VALUE_ADD">#REF!</definedName>
    <definedName name="Value_addition_1260D">#REF!</definedName>
    <definedName name="VALUE_ADDN_DFN6">#REF!</definedName>
    <definedName name="VALUE_ADDN_DFN66">#REF!</definedName>
    <definedName name="values">#N/A</definedName>
    <definedName name="Values_Entered">IF(#REF!*#REF!*#REF!*#REF!&gt;0,1,0)</definedName>
    <definedName name="Valve___Seal_Asy_Htr_Air_Temp_Contr">#REF!</definedName>
    <definedName name="VAN">#REF!</definedName>
    <definedName name="var" hidden="1">{#N/A,#N/A,FALSE,"FINAL"}</definedName>
    <definedName name="VAR_IHALF">#REF!</definedName>
    <definedName name="VARAMT">#N/A</definedName>
    <definedName name="VARB_VSEA">#REF!</definedName>
    <definedName name="VarCosts">#REF!</definedName>
    <definedName name="VarCostsInp">#REF!</definedName>
    <definedName name="VAREOH">#N/A</definedName>
    <definedName name="Variable">#REF!</definedName>
    <definedName name="VARIABLE2">#REF!</definedName>
    <definedName name="VARIABLES">#REF!</definedName>
    <definedName name="Variance">#N/A</definedName>
    <definedName name="Variance_analysis">#REF!</definedName>
    <definedName name="Variance_Analysis__Month___YTD">#REF!</definedName>
    <definedName name="variance_total">#REF!</definedName>
    <definedName name="Variances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VARIINST">#REF!</definedName>
    <definedName name="VariousTotal">#REF!</definedName>
    <definedName name="VARIPURC">#REF!</definedName>
    <definedName name="vascact">#REF!</definedName>
    <definedName name="vascstd">#REF!</definedName>
    <definedName name="vat">#REF!</definedName>
    <definedName name="VAT_SAM_BO">#REF!</definedName>
    <definedName name="VBA_Target">#REF!</definedName>
    <definedName name="VBB">#N/A</definedName>
    <definedName name="VBDE">{"AUDIT-MWOS WITH POS 7.11.98",#N/A,FALSE,"AUDIT-MWOS"}</definedName>
    <definedName name="vbfbvxdfxvbdfsxdfrtbvgdfbt">#N/A</definedName>
    <definedName name="vbhj" hidden="1">{#N/A,"PURCHM",FALSE,"Business Analysis";#N/A,"SPADD",FALSE,"Business Analysis"}</definedName>
    <definedName name="vbnm" hidden="1">{"net assets",#N/A,FALSE,"summary";"asset turnover",#N/A,FALSE,"summary";"orona",#N/A,FALSE,"summary"}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">#REF!</definedName>
    <definedName name="VÇà">#REF!</definedName>
    <definedName name="VCBDGDGDD" hidden="1">{"'OBT_6M_30_6'!$S$1:$AE$53"}</definedName>
    <definedName name="vccot">#REF!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om_pack">QACT1</definedName>
    <definedName name="vctb">#REF!</definedName>
    <definedName name="vcvc" hidden="1">{"Polymers Details",#N/A,FALSE,"Current Yr";"Polymer Details",#N/A,FALSE,"Budget";"Polymer Details",#N/A,FALSE,"Prior Year"}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{"YD PACKAGE",#N/A,FALSE,"YTD"}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fgvdf" hidden="1">{#N/A,#N/A,FALSE,"FFM"}</definedName>
    <definedName name="Vector" hidden="1">{"'Volante'!$A$1:$O$18"}</definedName>
    <definedName name="VEH">#REF!</definedName>
    <definedName name="vehicle">#REF!</definedName>
    <definedName name="Vehicles">#REF!</definedName>
    <definedName name="VENTAS">#REF!</definedName>
    <definedName name="VENTAS_TIPOS">#REF!</definedName>
    <definedName name="VENTASPIN">#REF!</definedName>
    <definedName name="verrouillage">#REF!,#REF!,#REF!,#REF!,#REF!,#REF!</definedName>
    <definedName name="Version">#REF!</definedName>
    <definedName name="Version.WIRE">1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cd" hidden="1">{"QTD",#N/A,FALSE,"SUM"}</definedName>
    <definedName name="vfhy" hidden="1">{"GENERALH2",#N/A,FALSE,"CM"}</definedName>
    <definedName name="vg" hidden="1">{#N/A,#N/A,FALSE,"One Pager";#N/A,#N/A,FALSE,"Technical"}</definedName>
    <definedName name="vgf" hidden="1">{"GENERALH2",#N/A,FALSE,"CM"}</definedName>
    <definedName name="VGYHUI">#REF!</definedName>
    <definedName name="vhul" hidden="1">{"'BGT2001'!$A$1:$AE$112"}</definedName>
    <definedName name="vIDYA">#REF!</definedName>
    <definedName name="viet">#REF!</definedName>
    <definedName name="VII_1">#REF!</definedName>
    <definedName name="VII_2">#REF!</definedName>
    <definedName name="VII_3">#REF!</definedName>
    <definedName name="VII_4">#REF!</definedName>
    <definedName name="vijay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vijaya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vikas">#N/A</definedName>
    <definedName name="vikas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Vikrant">#REF!</definedName>
    <definedName name="vikrant1">#REF!</definedName>
    <definedName name="VINI777">#REF!</definedName>
    <definedName name="vinu" hidden="1">{#N/A,#N/A,FALSE,"COMICRO";#N/A,#N/A,FALSE,"BALSCH";#N/A,#N/A,FALSE,"GLASS";#N/A,#N/A,FALSE,"DEPRE";#N/A,#N/A,FALSE,"A&amp;MCUR";#N/A,#N/A,FALSE,"AGEANAlysis";#N/A,#N/A,FALSE,"CHECKS";#N/A,#N/A,FALSE,"CHECKS"}</definedName>
    <definedName name="vish">{#N/A,#N/A,FALSE,"COMP"}</definedName>
    <definedName name="vishnu" hidden="1">{#N/A,#N/A,FALSE,"One Pager";#N/A,#N/A,FALSE,"Technical"}</definedName>
    <definedName name="VISHWA" hidden="1">{"'Mach'!$A$1:$D$39"}</definedName>
    <definedName name="VistTool">#REF!</definedName>
    <definedName name="viswa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Vitamins">#REF!</definedName>
    <definedName name="VJL" hidden="1">{"a4p&amp;L",#N/A,FALSE,"tr &amp; pl"}</definedName>
    <definedName name="vk" hidden="1">{#N/A,#N/A,FALSE,"One Pager";#N/A,#N/A,FALSE,"Technical"}</definedName>
    <definedName name="VLC">#REF!</definedName>
    <definedName name="Vlcap0.7">#REF!</definedName>
    <definedName name="VLcap1">#REF!</definedName>
    <definedName name="VLL">#REF!</definedName>
    <definedName name="vlook">#REF!</definedName>
    <definedName name="Vlook_BS">#N/A</definedName>
    <definedName name="Vlookup">#N/A</definedName>
    <definedName name="VLR">#REF!</definedName>
    <definedName name="Vma">#REF!</definedName>
    <definedName name="vmeiflòflòff" hidden="1">{"'BGT2001'!$A$1:$AE$112"}</definedName>
    <definedName name="vmpandit" hidden="1">{#N/A,#N/A,FALSE,"Mukesh Shivdasani"}</definedName>
    <definedName name="VN">#REF!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o" hidden="1">{"consolidated",#N/A,FALSE,"Sheet1";"cms",#N/A,FALSE,"Sheet1";"fse",#N/A,FALSE,"Sheet1"}</definedName>
    <definedName name="VoEffdat">#REF!</definedName>
    <definedName name="Vol">#REF!</definedName>
    <definedName name="Vol_Bonus_Non_Retro">#REF!</definedName>
    <definedName name="Vol_Bonus_Retro">#REF!</definedName>
    <definedName name="VOL8OZ95">#REF!</definedName>
    <definedName name="VOL8OZ96">#REF!</definedName>
    <definedName name="VOL8OZ97FCST">#REF!</definedName>
    <definedName name="VOL8OZ97PLAN">#REF!</definedName>
    <definedName name="VOL8OZ98PLAN">#REF!</definedName>
    <definedName name="VOLACT95">#N/A</definedName>
    <definedName name="VOLR95">#REF!</definedName>
    <definedName name="VOLR96">#REF!</definedName>
    <definedName name="VOLR97FCST">#REF!</definedName>
    <definedName name="VOLR97PLAN">#REF!</definedName>
    <definedName name="VOLR98PLAN">#REF!</definedName>
    <definedName name="VOLTAS">#REF!</definedName>
    <definedName name="Volume_Bonus">#REF!</definedName>
    <definedName name="Volume_Bonus_Lease_Eligible">#REF!</definedName>
    <definedName name="Volumes___OB_2006_Vs._MTP_2006">#REF!</definedName>
    <definedName name="volvo">#REF!</definedName>
    <definedName name="VOLVO_INDIA_PRIVATE_LIMITED">#REF!</definedName>
    <definedName name="votl" hidden="1">{TRUE,TRUE,-1.25,-15.5,484.5,255,FALSE,FALSE,TRUE,FALSE,0,2,16,1,6,13,5,4,TRUE,TRUE,3,TRUE,1,TRUE,75,"Swvu.A.","ACwvu.A.",#N/A,FALSE,FALSE,0.2,0.22,1,0.641,2,"&amp;L&amp;""Arial,Bold""&amp;11Essar Projects LimitedEOL Refinery Project&amp;C&amp;""Arial,Bold""&amp;14TOTAL REFINERY PROJECTREFINERY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ucher">#REF!</definedName>
    <definedName name="VP">#REF!</definedName>
    <definedName name="VP3BOX">#N/A</definedName>
    <definedName name="vpannpay">#REF!</definedName>
    <definedName name="VPCSTD">#N/A</definedName>
    <definedName name="VPGYP">#N/A</definedName>
    <definedName name="VPMKT">#REF!</definedName>
    <definedName name="vpmopay">#REF!</definedName>
    <definedName name="VPOFRV">#N/A</definedName>
    <definedName name="vr">#REF!</definedName>
    <definedName name="vr_new">#REF!</definedName>
    <definedName name="VRJ">#REF!</definedName>
    <definedName name="vsasgfsghxa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d" hidden="1">{#N/A,#N/A,TRUE,"SCR-LA 2001";#N/A,#N/A,TRUE,"2001 TOTAL";#N/A,#N/A,TRUE,"2001 Puerto Rico";#N/A,#N/A,TRUE,"2001 Argentina";#N/A,#N/A,TRUE,"2001 Brazil";#N/A,#N/A,TRUE,"2001 Venezuela";#N/A,#N/A,TRUE,"2001 Chile";#N/A,#N/A,TRUE,"2001 Other Latin America"}</definedName>
    <definedName name="vsdm">#REF!</definedName>
    <definedName name="VSKR">{"REP1",#N/A,FALSE,"HSSA-LOG"}</definedName>
    <definedName name="vss" hidden="1">{#N/A,#N/A,FALSE,"COMICRO";#N/A,#N/A,FALSE,"BALSCH";#N/A,#N/A,FALSE,"GLASS";#N/A,#N/A,FALSE,"DEPRE";#N/A,#N/A,FALSE,"A&amp;MCUR";#N/A,#N/A,FALSE,"AGEANAlysis";#N/A,#N/A,FALSE,"CHECKS";#N/A,#N/A,FALSE,"CHECKS"}</definedName>
    <definedName name="VSTCD">#REF!</definedName>
    <definedName name="VSUMCL">#REF!</definedName>
    <definedName name="VT_PA">#REF!</definedName>
    <definedName name="vtable2">#REF!</definedName>
    <definedName name="VTM_12" hidden="1">#REF!</definedName>
    <definedName name="VTM_13" hidden="1">#REF!,#REF!</definedName>
    <definedName name="VTM_14" hidden="1">#REF!</definedName>
    <definedName name="VTM_15" hidden="1">#REF!</definedName>
    <definedName name="VTM_16" hidden="1">#REF!</definedName>
    <definedName name="VTM_17" hidden="1">#REF!</definedName>
    <definedName name="VTM_18" hidden="1">#REF!</definedName>
    <definedName name="VTM_19" hidden="1">#REF!</definedName>
    <definedName name="VTM_2" hidden="1">#REF!</definedName>
    <definedName name="VTM_22" hidden="1">#REF!</definedName>
    <definedName name="VTM_3" hidden="1">#REF!</definedName>
    <definedName name="VTM_6" hidden="1">#REF!</definedName>
    <definedName name="VTM_7" hidden="1">#REF!</definedName>
    <definedName name="VTM_8" hidden="1">#REF!</definedName>
    <definedName name="vtma1" hidden="1">#REF!</definedName>
    <definedName name="vtma2" hidden="1">#REF!</definedName>
    <definedName name="vtu">#REF!</definedName>
    <definedName name="vt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UKUK1DKDK">#REF!</definedName>
    <definedName name="VUKUK1RTDKDK">#REF!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VV">#REF!</definedName>
    <definedName name="VVV">{"SCB BG EXT",#N/A,FALSE,"ADVANCEBG-EXT.D"}</definedName>
    <definedName name="vvv.d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hidden="1">{#N/A,#N/A,FALSE,"TOWNSHIP"}</definedName>
    <definedName name="vvv.ss_2" hidden="1">{#N/A,#N/A,FALSE,"TOWNSHIP"}</definedName>
    <definedName name="vvv.ss_3" hidden="1">{#N/A,#N/A,FALSE,"TOWNSHIP"}</definedName>
    <definedName name="vvv.ss_4" hidden="1">{#N/A,#N/A,FALSE,"TOWNSHIP"}</definedName>
    <definedName name="vvv.xxx" hidden="1">{#N/A,#N/A,FALSE,"SUMMARY";#N/A,#N/A,FALSE,"SUMMARY"}</definedName>
    <definedName name="vvv.xxx_2" hidden="1">{#N/A,#N/A,FALSE,"SUMMARY";#N/A,#N/A,FALSE,"SUMMARY"}</definedName>
    <definedName name="vvv.xxx_3" hidden="1">{#N/A,#N/A,FALSE,"SUMMARY";#N/A,#N/A,FALSE,"SUMMARY"}</definedName>
    <definedName name="vvv.xxx_4" hidden="1">{#N/A,#N/A,FALSE,"SUMMARY";#N/A,#N/A,FALSE,"SUMMARY"}</definedName>
    <definedName name="vvvv" hidden="1">{"page 1",#N/A,FALSE,"A";"page 2",#N/A,FALSE,"A";"page 3",#N/A,FALSE,"A";"page 4",#N/A,FALSE,"A";"page 5",#N/A,FALSE,"A"}</definedName>
    <definedName name="VVVVDV">{"SCB BG EXT",#N/A,FALSE,"ADVANCEBG-EXT.D"}</definedName>
    <definedName name="VVVVVVV">#REF!</definedName>
    <definedName name="vvvvvvvvv">#N/A</definedName>
    <definedName name="vvvvvvvvvv" hidden="1">{"net assets",#N/A,FALSE,"summary";"asset turnover",#N/A,FALSE,"summary";"orona",#N/A,FALSE,"summary"}</definedName>
    <definedName name="vwx" hidden="1">{#N/A,#N/A,FALSE,"Tabl. FB300";#N/A,#N/A,FALSE,"Tabl. FB350";#N/A,#N/A,FALSE,"Tabl. FB400";#N/A,#N/A,FALSE,"Tabl. FB500";#N/A,#N/A,FALSE,"Tabl. FS090"}</definedName>
    <definedName name="vz" hidden="1">{#N/A,#N/A,FALSE,"Assumptions";#N/A,#N/A,FALSE,"Volumes";#N/A,#N/A,FALSE,"Pricing";#N/A,#N/A,FALSE,"Variable Cost";#N/A,#N/A,FALSE,"Investment";#N/A,#N/A,FALSE,"Profitability";#N/A,#N/A,FALSE,"Business Comparison"}</definedName>
    <definedName name="w">#REF!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?">#REF!</definedName>
    <definedName name="W?1">#N/A</definedName>
    <definedName name="w\">#REF!</definedName>
    <definedName name="W_520100_S309">#REF!</definedName>
    <definedName name="W_701409_S306">#REF!</definedName>
    <definedName name="W_702445_S302">#REF!</definedName>
    <definedName name="W_703056_S305">#REF!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3r" hidden="1">{#N/A,#N/A,FALSE,"Profit Status";#N/A,#N/A,FALSE,"Invest";#N/A,#N/A,FALSE,"Revenue";#N/A,#N/A,FALSE,"Variable Cost";#N/A,#N/A,FALSE,"Options &amp; Series"}</definedName>
    <definedName name="W702445_S301">#REF!</definedName>
    <definedName name="wa">#REF!</definedName>
    <definedName name="wacc">#REF!</definedName>
    <definedName name="wacc97">#REF!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ge_py.Data">#N/A</definedName>
    <definedName name="wage_py.DataPT">#N/A</definedName>
    <definedName name="wage_py.Debits">#N/A</definedName>
    <definedName name="wage_py.Description">#N/A</definedName>
    <definedName name="wage_py.Ending_Balance">#N/A</definedName>
    <definedName name="wage_py.Header">OFFSET(#REF!,0,0,1,COUNTA(#REF!))</definedName>
    <definedName name="Waiting">"Picture 1"</definedName>
    <definedName name="WAKU">#REF!</definedName>
    <definedName name="Walks">#REF!</definedName>
    <definedName name="warehouse">#REF!</definedName>
    <definedName name="warra" hidden="1">{#N/A,#N/A,FALSE,"Aging Summary";#N/A,#N/A,FALSE,"Ratio Analysis";#N/A,#N/A,FALSE,"Test 120 Day Accts";#N/A,#N/A,FALSE,"Tickmarks"}</definedName>
    <definedName name="warranty">#REF!</definedName>
    <definedName name="was" hidden="1">{#N/A,#N/A,FALSE,"Sales Graph";#N/A,#N/A,FALSE,"BUC Graph";#N/A,#N/A,FALSE,"P&amp;L - YTD"}</definedName>
    <definedName name="Water">#REF!</definedName>
    <definedName name="WATER_COOLER">#REF!</definedName>
    <definedName name="waterway">#REF!</definedName>
    <definedName name="wb" hidden="1">{#N/A,#N/A,FALSE,"Pharm";#N/A,#N/A,FALSE,"WWCM"}</definedName>
    <definedName name="WB_START">#REF!</definedName>
    <definedName name="wc" hidden="1">{#N/A,#N/A,FALSE,"Pharm";#N/A,#N/A,FALSE,"WWCM"}</definedName>
    <definedName name="WC_C">#REF!</definedName>
    <definedName name="WC_L">#REF!</definedName>
    <definedName name="WC_P">#REF!</definedName>
    <definedName name="WCa">#REF!</definedName>
    <definedName name="WÇà">#REF!</definedName>
    <definedName name="WCAP">#REF!</definedName>
    <definedName name="WCDETAILS">#REF!</definedName>
    <definedName name="wcl">#REF!</definedName>
    <definedName name="WCLoanIntRate">#REF!</definedName>
    <definedName name="wcr">#REF!</definedName>
    <definedName name="WCS">#REF!</definedName>
    <definedName name="WCS_C">#REF!</definedName>
    <definedName name="WCS_L">#REF!</definedName>
    <definedName name="WCS_P">#REF!</definedName>
    <definedName name="wcy" hidden="1">{"YD PRS",#N/A,FALSE,"YTD"}</definedName>
    <definedName name="WD" hidden="1">{#N/A,#N/A,FALSE,"CIF APR'03-SEP'03 (2)"}</definedName>
    <definedName name="WD_Apr">#REF!</definedName>
    <definedName name="WD_Apr2">#REF!</definedName>
    <definedName name="WD_Aug">#REF!</definedName>
    <definedName name="WD_Dec">#REF!</definedName>
    <definedName name="WD_Dec2">#REF!</definedName>
    <definedName name="WD_Feb">#REF!</definedName>
    <definedName name="WD_Feb2">#REF!</definedName>
    <definedName name="WD_Hours">#REF!</definedName>
    <definedName name="WD_Hours2">#REF!</definedName>
    <definedName name="WD_Jan">#REF!</definedName>
    <definedName name="WD_Jan2">#REF!</definedName>
    <definedName name="WD_Jul">#REF!</definedName>
    <definedName name="WD_Jul2">#REF!</definedName>
    <definedName name="WD_Jun">#REF!</definedName>
    <definedName name="WD_Jun2">#REF!</definedName>
    <definedName name="WD_Mar">#REF!</definedName>
    <definedName name="WD_Mar2">#REF!</definedName>
    <definedName name="WD_May">#REF!</definedName>
    <definedName name="WD_May2">#REF!</definedName>
    <definedName name="WD_Nov">#REF!</definedName>
    <definedName name="WD_Nov2">#REF!</definedName>
    <definedName name="WD_Oct">#REF!</definedName>
    <definedName name="WD_Oct2">#REF!</definedName>
    <definedName name="WD_Sep">#REF!</definedName>
    <definedName name="wdaas" hidden="1">{"page 1",#N/A,FALSE,"A";"page 2",#N/A,FALSE,"A";"page 3",#N/A,FALSE,"A";"page 4",#N/A,FALSE,"A";"page 5",#N/A,FALSE,"A"}</definedName>
    <definedName name="WDCtlDays">#REF!</definedName>
    <definedName name="wddq" hidden="1">{#N/A,#N/A,FALSE,"Financial";#N/A,#N/A,FALSE,"Balance Sheet";#N/A,#N/A,FALSE,"Income stmt";#N/A,#N/A,FALSE,"Ratio"}</definedName>
    <definedName name="WDESAX" hidden="1">{#N/A,#N/A,FALSE,"SUMMARY";#N/A,#N/A,FALSE,"SUMMARY"}</definedName>
    <definedName name="WDESAX_1" hidden="1">{#N/A,#N/A,FALSE,"SUMMARY";#N/A,#N/A,FALSE,"SUMMARY"}</definedName>
    <definedName name="WDESAX_2" hidden="1">{#N/A,#N/A,FALSE,"SUMMARY";#N/A,#N/A,FALSE,"SUMMARY"}</definedName>
    <definedName name="WDESAX_3" hidden="1">{#N/A,#N/A,FALSE,"SUMMARY";#N/A,#N/A,FALSE,"SUMMARY"}</definedName>
    <definedName name="WDESAX_4" hidden="1">{#N/A,#N/A,FALSE,"SUMMARY";#N/A,#N/A,FALSE,"SUMMARY"}</definedName>
    <definedName name="WDHolDays">#REF!</definedName>
    <definedName name="WDPeriod1Holiday">#REF!</definedName>
    <definedName name="WDPeriod1Workday">#REF!</definedName>
    <definedName name="WDPeriod2Holiday">#REF!</definedName>
    <definedName name="WDPeriod2Workday">#REF!</definedName>
    <definedName name="WDStdDays">#REF!</definedName>
    <definedName name="WDSX" hidden="1">{#N/A,#N/A,FALSE,"PGW"}</definedName>
    <definedName name="WDSX_1" hidden="1">{#N/A,#N/A,FALSE,"PGW"}</definedName>
    <definedName name="WDSX_2" hidden="1">{#N/A,#N/A,FALSE,"PGW"}</definedName>
    <definedName name="WDSX_3" hidden="1">{#N/A,#N/A,FALSE,"PGW"}</definedName>
    <definedName name="WDSX_4" hidden="1">{#N/A,#N/A,FALSE,"PGW"}</definedName>
    <definedName name="wdv">#REF!</definedName>
    <definedName name="WDWD" hidden="1">{#N/A,#N/A,FALSE,"PGW"}</definedName>
    <definedName name="wdwedwew">#REF!</definedName>
    <definedName name="we" hidden="1">{"A Performance Report",#N/A,FALSE,"%Performance"}</definedName>
    <definedName name="we.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3x" hidden="1">{"QTD_LPO2N2",#N/A,FALSE,"QTD"}</definedName>
    <definedName name="weaw" hidden="1">{"YTD",#N/A,FALSE,"SUM"}</definedName>
    <definedName name="weawe" hidden="1">{"QTD_HYCO",#N/A,FALSE,"QTD"}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s" hidden="1">{"overview",#N/A,FALSE,"summary";"net assets",#N/A,FALSE,"summary";"asset turnover",#N/A,FALSE,"summary";"orona",#N/A,FALSE,"summary"}</definedName>
    <definedName name="WEDWQDX" hidden="1">{#N/A,#N/A,FALSE,"OSBL"}</definedName>
    <definedName name="WEDWQDX_1" hidden="1">{#N/A,#N/A,FALSE,"OSBL"}</definedName>
    <definedName name="WEDWQDX_2" hidden="1">{#N/A,#N/A,FALSE,"OSBL"}</definedName>
    <definedName name="WEDWQDX_3" hidden="1">{#N/A,#N/A,FALSE,"OSBL"}</definedName>
    <definedName name="WEDWQDX_4" hidden="1">{#N/A,#N/A,FALSE,"OSBL"}</definedName>
    <definedName name="wee" hidden="1">{#N/A,#N/A,FALSE,"Balance Sheets";#N/A,#N/A,FALSE,"96 Conservative";#N/A,#N/A,FALSE,"96 Possible"}</definedName>
    <definedName name="weeee" hidden="1">{"'OBT_6M_30_6'!$S$1:$AE$53"}</definedName>
    <definedName name="week">#REF!</definedName>
    <definedName name="WEIGHT">#REF!</definedName>
    <definedName name="weix" hidden="1">{"Comp_of_Price_Effect",#N/A,FALSE,"QTRDPVAR"}</definedName>
    <definedName name="Welfare">#REF!</definedName>
    <definedName name="welgnwelg">#REF!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hidden="1">{"oct_res_comm",#N/A,FALSE,"VarToBud"}</definedName>
    <definedName name="weq" hidden="1">{#N/A,#N/A,FALSE,"QC REVIEW"}</definedName>
    <definedName name="wer">#N/A</definedName>
    <definedName name="wer.g" hidden="1">{#N/A,#N/A,FALSE,"KA CH  (2)"}</definedName>
    <definedName name="werafagfwergrujt" hidden="1">{#N/A,#N/A,FALSE,"Financial";#N/A,#N/A,FALSE,"Balance Sheet";#N/A,#N/A,FALSE,"Income stmt";#N/A,#N/A,FALSE,"Ratio"}</definedName>
    <definedName name="werfwe" hidden="1">{#N/A,#N/A,FALSE,"COMP"}</definedName>
    <definedName name="WERFWEFWE" hidden="1">#REF!</definedName>
    <definedName name="werr">{"'Changes Log'!$A$1:$F$25"}</definedName>
    <definedName name="werrr" hidden="1">{#N/A,#N/A,FALSE,"Pharm";#N/A,#N/A,FALSE,"WWCM"}</definedName>
    <definedName name="wer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rwe" hidden="1">{#N/A,#N/A,FALSE,"COMP"}</definedName>
    <definedName name="werwerwerwe" hidden="1">#REF!</definedName>
    <definedName name="werwerwerwere" hidden="1">#REF!</definedName>
    <definedName name="werwerwerwerwerwe" hidden="1">#REF!</definedName>
    <definedName name="werwrwerwerer" hidden="1">#REF!</definedName>
    <definedName name="wes_asp">#REF!</definedName>
    <definedName name="wes_bklg">#REF!</definedName>
    <definedName name="Wes_detail">#REF!</definedName>
    <definedName name="wes_si">#REF!</definedName>
    <definedName name="West">#REF!</definedName>
    <definedName name="WETFGW" hidden="1">{#N/A,#N/A,FALSE,"FINAL"}</definedName>
    <definedName name="wew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we" hidden="1">{#N/A,#N/A,TRUE,"pd_SSS";#N/A,#N/A,TRUE,"fo_SSS";#N/A,#N/A,TRUE,"eqpt_SSS";#N/A,#N/A,TRUE,"ftrs_SSS"}</definedName>
    <definedName name="wewrtwert">#N/A</definedName>
    <definedName name="wews" hidden="1">{"pro_view",#N/A,FALSE,"EEFSNAP2";"rep_view",#N/A,FALSE,"EEFSNAP2"}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MR_4">#REF!</definedName>
    <definedName name="wgbwt" hidden="1">{#N/A,#N/A,FALSE,"ISBL"}</definedName>
    <definedName name="wgbwt_1" hidden="1">{#N/A,#N/A,FALSE,"ISBL"}</definedName>
    <definedName name="wgbwt_2" hidden="1">{#N/A,#N/A,FALSE,"ISBL"}</definedName>
    <definedName name="wgbwt_3" hidden="1">{#N/A,#N/A,FALSE,"ISBL"}</definedName>
    <definedName name="wgbwt_4" hidden="1">{#N/A,#N/A,FALSE,"ISBL"}</definedName>
    <definedName name="wghatt" hidden="1">{"'BGT2001'!$A$1:$AE$112"}</definedName>
    <definedName name="wgj">#REF!</definedName>
    <definedName name="WGJDFHJ">#REF!</definedName>
    <definedName name="WGO">#REF!</definedName>
    <definedName name="whatever" hidden="1">{#N/A,#N/A,FALSE,"SUMARIO";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;#N/A,#N/A,FALSE,"D17";#N/A,#N/A,FALSE,"D18";#N/A,#N/A,FALSE,"D19";#N/A,#N/A,FALSE,"D20";#N/A,#N/A,FALSE,"D21";#N/A,#N/A,FALSE,"D22";#N/A,#N/A,FALSE,"DLLS"}</definedName>
    <definedName name="WHdept">#REF!</definedName>
    <definedName name="WHwiseTotalStk">#REF!</definedName>
    <definedName name="Width">2</definedName>
    <definedName name="WILMAR_INTERNATIONAL_HOLDINGS_LTD__BVI">#N/A</definedName>
    <definedName name="win" hidden="1">{"F3 detail",#N/A,FALSE,"F1";"F3 Presentation",#N/A,FALSE,"F3 "}</definedName>
    <definedName name="window" hidden="1">{#N/A,#N/A,FALSE,"Week 2002";#N/A,#N/A,FALSE,"YTD 2002";#N/A,#N/A,FALSE,"Quarterly Trend(Q3)"}</definedName>
    <definedName name="WINFL">#REF!</definedName>
    <definedName name="Winform">#REF!</definedName>
    <definedName name="wip">#REF!</definedName>
    <definedName name="WIP_PRESS">#REF!</definedName>
    <definedName name="WIP_WELD">#REF!</definedName>
    <definedName name="Wires_CY">#REF!</definedName>
    <definedName name="WK" hidden="1">{#N/A,#N/A,FALSE,"견적대비-2"}</definedName>
    <definedName name="wke" hidden="1">{#N/A,#N/A,FALSE,"FRANCE MONTH DETAIL  FFR";#N/A,#N/A,FALSE,"FRANCE MONTH DETAIL  NLG";#N/A,#N/A,FALSE,"FRANCE YTD  DETAIL FFR";#N/A,#N/A,FALSE,"FRANCE YTD  DETAIL NLG"}</definedName>
    <definedName name="wkrdjq">#REF!</definedName>
    <definedName name="WL_1">#REF!</definedName>
    <definedName name="WL_2">#REF!</definedName>
    <definedName name="WL_Generation">#REF!</definedName>
    <definedName name="wladvtaxmar98">#REF!</definedName>
    <definedName name="wldec97">#REF!</definedName>
    <definedName name="WMH">#REF!</definedName>
    <definedName name="WNG">#REF!</definedName>
    <definedName name="woi" hidden="1">{"detail",#N/A,FALSE,"mfg";"summary",#N/A,FALSE,"mfg"}</definedName>
    <definedName name="womxien" hidden="1">{"detail",#N/A,FALSE,"mfg";"summary",#N/A,FALSE,"mfg"}</definedName>
    <definedName name="Woods" hidden="1">#REF!</definedName>
    <definedName name="words">#REF!</definedName>
    <definedName name="words1">#REF!</definedName>
    <definedName name="words2">#REF!</definedName>
    <definedName name="WORK">#REF!</definedName>
    <definedName name="WORK_CAP_FIN">#REF!</definedName>
    <definedName name="workcomp" hidden="1">{"Comparisons",#N/A,FALSE,"CAP SPEND SUM"}</definedName>
    <definedName name="workexmw_pa">#REF!</definedName>
    <definedName name="working" hidden="1">{#N/A,#N/A,FALSE,"REPORT"}</definedName>
    <definedName name="Working_01">#REF!</definedName>
    <definedName name="Working_02">#REF!</definedName>
    <definedName name="WORKING_CAPITAL">#REF!</definedName>
    <definedName name="Working_Capital_Balances">#REF!</definedName>
    <definedName name="Working_capital_statement_TFL">#REF!</definedName>
    <definedName name="workingcapital">#REF!</definedName>
    <definedName name="WorkingCostCentre">#REF!</definedName>
    <definedName name="WORKINGS">#REF!</definedName>
    <definedName name="WP">#REF!</definedName>
    <definedName name="wpl_mlb12_rev">#REF!</definedName>
    <definedName name="WPN">#REF!</definedName>
    <definedName name="wq">#REF!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DAW" hidden="1">{#N/A,#N/A,FALSE,"ISBL"}</definedName>
    <definedName name="WQDAW_1" hidden="1">{#N/A,#N/A,FALSE,"ISBL"}</definedName>
    <definedName name="WQDAW_2" hidden="1">{#N/A,#N/A,FALSE,"ISBL"}</definedName>
    <definedName name="WQDAW_3" hidden="1">{#N/A,#N/A,FALSE,"ISBL"}</definedName>
    <definedName name="WQDAW_4" hidden="1">{#N/A,#N/A,FALSE,"ISBL"}</definedName>
    <definedName name="wqdqwdqwd" hidden="1">{#N/A,#N/A,FALSE,"Staffnos &amp; cost"}</definedName>
    <definedName name="WQDSA" hidden="1">{#N/A,#N/A,FALSE,"PGW"}</definedName>
    <definedName name="WQDSA_1" hidden="1">{#N/A,#N/A,FALSE,"PGW"}</definedName>
    <definedName name="WQDSA_2" hidden="1">{#N/A,#N/A,FALSE,"PGW"}</definedName>
    <definedName name="WQDSA_3" hidden="1">{#N/A,#N/A,FALSE,"PGW"}</definedName>
    <definedName name="WQDSA_4" hidden="1">{#N/A,#N/A,FALSE,"PGW"}</definedName>
    <definedName name="wqdw" hidden="1">{"page 1",#N/A,FALSE,"A";"page 2",#N/A,FALSE,"A";"page 3",#N/A,FALSE,"A";"page 4",#N/A,FALSE,"A";"page 5",#N/A,FALSE,"A"}</definedName>
    <definedName name="WQDWAX" hidden="1">{TRUE,TRUE,-1.25,-15.5,484.5,255,FALSE,FALSE,TRUE,FALSE,0,2,16,1,6,13,5,4,TRUE,TRUE,3,TRUE,1,TRUE,75,"Swvu.A.","ACwvu.A.",#N/A,FALSE,FALSE,0.2,0.22,1,0.641,2,"&amp;L&amp;""Arial,Bold""&amp;11Essar Projects LimitedEOL Refinery Project&amp;C&amp;""Arial,Bold""&amp;14TOTAL REFINERY PROJECTREFINERY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hidden="1">{#N/A,#N/A,FALSE,"FREE"}</definedName>
    <definedName name="WQEFAS_1" hidden="1">{#N/A,#N/A,FALSE,"FREE"}</definedName>
    <definedName name="WQEFAS_2" hidden="1">{#N/A,#N/A,FALSE,"FREE"}</definedName>
    <definedName name="WQEFAS_3" hidden="1">{#N/A,#N/A,FALSE,"FREE"}</definedName>
    <definedName name="WQEFAS_4" hidden="1">{#N/A,#N/A,FALSE,"FREE"}</definedName>
    <definedName name="wqeq" hidden="1">{"Commentary",#N/A,FALSE,"May"}</definedName>
    <definedName name="wqeqr">#REF!</definedName>
    <definedName name="wqer" hidden="1">{"TXO2N2_SLS",#N/A,FALSE,"MTHLYSLES";"TXH2_SLS",#N/A,FALSE,"MTHLYSLES";"LOUIS_SLS",#N/A,FALSE,"MTHLYSLES";"H2_SLS",#N/A,FALSE,"MTHLYSLES";"O2N2_SLS",#N/A,FALSE,"MTHLYSLES";"PACKAGE_SLS",#N/A,FALSE,"MTHLYSLES"}</definedName>
    <definedName name="wqw">#REF!</definedName>
    <definedName name="wqwq" hidden="1">{"BA detail",#N/A,FALSE,"Q3YTD "}</definedName>
    <definedName name="wqx" hidden="1">{"Comp_of_Price_Effect",#N/A,FALSE,"QTRDPVAR"}</definedName>
    <definedName name="wr" hidden="1">{"letter",#N/A,FALSE,"Letter";"amort",#N/A,FALSE,"Amort"}</definedName>
    <definedName name="wr34ar" hidden="1">{"QTD_LOUISIANA",#N/A,FALSE,"QTD"}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hidden="1">{#N/A,#N/A,FALSE,"TECH CENTRE RXDU66";#N/A,#N/A,FALSE,"ASU VAAX66";#N/A,#N/A,FALSE,"TCM VAKX66"}</definedName>
    <definedName name="wrd" hidden="1">{#N/A,#N/A,FALSE,"INPUTS";#N/A,#N/A,FALSE,"PROFORMA BSHEET";#N/A,#N/A,FALSE,"COMBINED";#N/A,#N/A,FALSE,"HIGH YIELD";#N/A,#N/A,FALSE,"COMB_GRAPHS"}</definedName>
    <definedName name="wre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esult">#REF!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I" hidden="1">{#N/A,#N/A,FALSE,"COMP"}</definedName>
    <definedName name="WRITE">#REF!</definedName>
    <definedName name="Wrkgs">0.000370370369637385</definedName>
    <definedName name="wrm.pucspaddq2" hidden="1">{#N/A,"PURCHM",FALSE,"Business Analysis";#N/A,"SPADD",FALSE,"Business Analysis"}</definedName>
    <definedName name="wrn" hidden="1">{#N/A,#N/A,FALSE,"COMP"}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{#N/A,#N/A,FALSE,"17MAY";#N/A,#N/A,FALSE,"24MAY"}</definedName>
    <definedName name="wrn.111111" hidden="1">{#N/A,#N/A,FALSE,"Pharm";#N/A,#N/A,FALSE,"WWCM"}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2." hidden="1">{#N/A,#N/A,TRUE,"Sheet1"}</definedName>
    <definedName name="wrn.2.2" hidden="1">{#N/A,#N/A,FALSE,"17MAY";#N/A,#N/A,FALSE,"24MAY"}</definedName>
    <definedName name="wrn.2001._.Product." hidden="1">{#N/A,#N/A,TRUE,"2001 TOTAL";#N/A,#N/A,TRUE,"2001 South Africa";#N/A,#N/A,TRUE,"2001 Egypt";#N/A,#N/A,TRUE,"2001 RCENA";#N/A,#N/A,TRUE,"2001Czech Rep";#N/A,#N/A,TRUE,"2001 Poland";#N/A,#N/A,TRUE,"2001 RCWA";#N/A,#N/A,TRUE,"2001 RCSA";#N/A,#N/A,TRUE,"2001 Turkey";#N/A,#N/A,TRUE,"2001 Dubai"}</definedName>
    <definedName name="wrn.2001._.Summary." hidden="1">{#N/A,#N/A,TRUE,"SCR-LA 2001";#N/A,#N/A,TRUE,"2001 TOTAL";#N/A,#N/A,TRUE,"2001 Puerto Rico";#N/A,#N/A,TRUE,"2001 Argentina";#N/A,#N/A,TRUE,"2001 Brazil";#N/A,#N/A,TRUE,"2001 Venezuela";#N/A,#N/A,TRUE,"2001 Chile";#N/A,#N/A,TRUE,"2001 Other Latin America"}</definedName>
    <definedName name="wrn.3cd." hidden="1">{#N/A,#N/A,FALSE,"CLuase 16(B) 3CD"}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905" hidden="1">{#N/A,#N/A,FALSE,"REPORT"}</definedName>
    <definedName name="wrn.99999" hidden="1">{#N/A,#N/A,FALSE,"REPORT"}</definedName>
    <definedName name="wrn.9D." hidden="1">{"9D",#N/A,FALSE,"9D"}</definedName>
    <definedName name="wrn.a." hidden="1">{#N/A,#N/A,FALSE,"Sheet1"}</definedName>
    <definedName name="wrn.A.._.Print._.All." hidden="1">{"A COM Detail YTD",#N/A,FALSE,"DATA";"B Exp Detail YTD",#N/A,FALSE,"DATA";"C COM Detail Qtr of",#N/A,FALSE,"DATA";"D Exp Detail Qtr of",#N/A,FALSE,"DATA";"A Performance Report",#N/A,FALSE,"%Performance"}</definedName>
    <definedName name="wrn.A4BSSCH." hidden="1">{"BSSCHA4",#N/A,FALSE,"sch bs"}</definedName>
    <definedName name="wrn.A4PL." hidden="1">{"a4p&amp;L",#N/A,FALSE,"tr &amp; pl"}</definedName>
    <definedName name="wrn.AA." hidden="1">{#N/A,#N/A,FALSE,"PMTABB";#N/A,#N/A,FALSE,"PMTABB"}</definedName>
    <definedName name="wrn.AA._1" hidden="1">{#N/A,#N/A,FALSE,"PMTABB";#N/A,#N/A,FALSE,"PMTABB"}</definedName>
    <definedName name="wrn.AA._2" hidden="1">{#N/A,#N/A,FALSE,"PMTABB";#N/A,#N/A,FALSE,"PMTABB"}</definedName>
    <definedName name="wrn.AA._3" hidden="1">{#N/A,#N/A,FALSE,"PMTABB";#N/A,#N/A,FALSE,"PMTABB"}</definedName>
    <definedName name="wrn.AA._4" hidden="1">{#N/A,#N/A,FALSE,"PMTABB";#N/A,#N/A,FALSE,"PMTABB"}</definedName>
    <definedName name="wrn.aaa" hidden="1">{#N/A,#N/A,FALSE,"Pharm";#N/A,#N/A,FALSE,"WWCM"}</definedName>
    <definedName name="wrn.aaaaaa.phase3" hidden="1">{"Summary Sheet",#N/A,FALSE,"Stage 5 vs Budget";"Summary Sheet",#N/A,FALSE,"Stage 6 vs Budget";"Summary Sheet",#N/A,FALSE,"Stage 7 vs Budget";"Summary Sheet",#N/A,FALSE,"SalesInfo vs Budget";"Summary Sheet",#N/A,FALSE,"Stock Route vs Budget";"Summary Sheet",#N/A,FALSE,"Stock Route Park vs Budget";"Summary Sheet",#N/A,FALSE,"River Park vs Budget";"Summary Sheet",#N/A,FALSE,"Central Park vs Budget";"Summary Sheet",#N/A,FALSE,"Crescent Park vs Budget";"Summary Sheet",#N/A,FALSE,"The Green vs Budget"}</definedName>
    <definedName name="wrn.aaaaaaa" hidden="1">{#N/A,#N/A,FALSE,"Pharm";#N/A,#N/A,FALSE,"WWCM"}</definedName>
    <definedName name="wrn.abc.">{#N/A,#N/A,FALSE,"Sheet7"}</definedName>
    <definedName name="wrn.Accounts." hidden="1">{"turnover",#N/A,FALSE;"profits",#N/A,FALSE;"cash",#N/A,FALSE}</definedName>
    <definedName name="wrn.ACCRULC." hidden="1">{"LOCAL",#N/A,FALSE,"ACCRULC.XLS";"USDOLLARS",#N/A,FALSE,"ACCRULC.XLS"}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tual._.Data._.Entry." hidden="1">{#N/A,#N/A,FALSE,"Sales"}</definedName>
    <definedName name="wrn.Actual._.vs._.Budget.Phase3" hidden="1">{"Summary Sheet",#N/A,FALSE,"Cash Flow vs Budget"}</definedName>
    <definedName name="wrn.add." hidden="1">{#N/A,#N/A,TRUE,"Sheet1"}</definedName>
    <definedName name="wrn.adj95." hidden="1">{"adj95mult",#N/A,FALSE,"COMPCO";"adj95est",#N/A,FALSE,"COMPCO"}</definedName>
    <definedName name="wrn.Administrators._.Data." hidden="1">{"Data Input Sheet 1",#N/A,FALSE,"Data Input - Sheet 1";"Plot Data Sheet 1",#N/A,FALSE,"Plot Data - Sheet 1";"Data Input Sheet 2",#N/A,FALSE,"Data Input - Sheet 2";"Plot Data Sheet 2",#N/A,FALSE,"Plot Data - Sheet 2"}</definedName>
    <definedName name="wrn.ADVANCE._.BG._.SOC.">{"SOC ADV BG EXT",#N/A,FALSE,"ADVANCEBG-EXT.D"}</definedName>
    <definedName name="wrn.ADVANCE._.BG.HSBC.">{"HSBC ADV BG EXT",#N/A,FALSE,"ADVANCEBG-EXT.D"}</definedName>
    <definedName name="wrn.ADVANCE._.BG.SCB.">{"SCB BG EXT",#N/A,FALSE,"ADVANCEBG-EXT.D"}</definedName>
    <definedName name="wrn.ageing._trend.">{#N/A,#N/A,FALSE,"Aging Summary";#N/A,#N/A,FALSE,"Ratio Analysis";#N/A,#N/A,FALSE,"Test 120 Day Accts";#N/A,#N/A,FALSE,"Tickmarks"}</definedName>
    <definedName name="wrn.ageing_trend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_.3._.years." hidden="1">{#N/A,#N/A,FALSE,"Worldwide FY00";#N/A,#N/A,FALSE,"Worldwide FY01";#N/A,#N/A,FALSE,"Worldwide FY02"}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Reports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.Sheets." hidden="1">{#N/A,#N/A,TRUE,"WSO";#N/A,#N/A,TRUE,"MR";#N/A,#N/A,TRUE,"Mexico";#N/A,#N/A,TRUE,"Japan Mfg OLD";#N/A,#N/A,TRUE,"Buc";#N/A,#N/A,TRUE,"Budapest";#N/A,#N/A,TRUE,"Israel";#N/A,#N/A,TRUE,"China Mfg";#N/A,#N/A,TRUE,"India Mfg NEW";#N/A,#N/A,TRUE,"OEC US";#N/A,#N/A,TRUE,"OEC - EU";#N/A,#N/A,TRUE,"Oxford";#N/A,#N/A,TRUE,"Mexico Var";#N/A,#N/A,TRUE,"Wuxi";#N/A,#N/A,TRUE,"Magnet US from Shiv FLO_MTY"}</definedName>
    <definedName name="wrn.all._.slides." hidden="1">{#N/A,#N/A,FALSE,"Trends";#N/A,#N/A,FALSE,"As Reported";#N/A,#N/A,FALSE,"(un) Commited"}</definedName>
    <definedName name="wrn.All._.Stages._.Summary.Phase3" hidden="1">{"Short Stage 1",#N/A,FALSE,"Stage 1";"Short Stage 2",#N/A,FALSE,"Stage 2";"Short Stage 3",#N/A,FALSE,"Stage 3";"Short Stage 4",#N/A,FALSE,"Stage 4";"Short Stage 5",#N/A,FALSE,"Stage 5";"Short Stage 6",#N/A,FALSE,"Stage 6";"Short Stage 7",#N/A,FALSE,"Stage 7"}</definedName>
    <definedName name="wrn.All._.Summaries.Phase3" hidden="1">{"Summary vs Budget",#N/A,FALSE,"Summary vs Budget";"Stage 1 vs Budget",#N/A,FALSE,"Stage 1 vs Budget";"Stage 1 vs Budget",#N/A,FALSE,"Stage 2 vs Budget";"Stage 1 vs Budget",#N/A,FALSE,"Stage 3 vs Budget";"Stage 4 vs Budget",#N/A,FALSE,"Stage 4 vs Budget";"Summary",#N/A,FALSE,"Stage 5 vs Budget";"Summary",#N/A,FALSE,"Stage 6 vs Budget";"Summary",#N/A,FALSE,"Stage 7 vs Budget "}</definedName>
    <definedName name="wrn.All._.Summary._.Sheets.Phase3" hidden="1">{"Summary Sheet",#N/A,FALSE,"Summary vs Budget";"Summary Sheet",#N/A,FALSE,"Master vs Budget";"Summary Sheet",#N/A,FALSE,"Stage 1 vs Budget";"Summary Sheet",#N/A,FALSE,"Stage 2 vs Budget";"Summary Sheet",#N/A,FALSE,"Stage 3 vs Budget";"Summary Sheet",#N/A,FALSE,"Stage 4 vs Budget";"Summary Sheet",#N/A,FALSE,"Stage 5 vs Budget";"Summary Sheet",#N/A,FALSE,"Stage 6 vs Budget";"Summary Sheet",#N/A,FALSE,"Stage 7 vs Budget";"Summary Sheet",#N/A,FALSE,"SalesInfo vs Budget";"Summary Sheet",#N/A,FALSE,"Stock Route vs Budget";"Summary Sheet",#N/A,FALSE,"Stock Route Park vs Budget";"Summary Sheet",#N/A,FALSE,"River Park vs Budget";"Summary Sheet",#N/A,FALSE,"Central Park vs Budget";"Summary Sheet",#N/A,FALSE,"Crescent Park vs Budget";"Summary Sheet",#N/A,FALSE,"The Green vs Budget"}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_pages_PandL." hidden="1">{"page 1",#N/A,FALSE,"A";"page 2",#N/A,FALSE,"A";"page 3",#N/A,FALSE,"A";"page 4",#N/A,FALSE,"A";"page 5",#N/A,FALSE,"A"}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DataPages." hidden="1">{#N/A,#N/A,FALSE,"Balance Sheet";#N/A,#N/A,FALSE,"Income Statement";#N/A,#N/A,FALSE,"Changes in Financial Position"}</definedName>
    <definedName name="wrn.Annex2." hidden="1">{#N/A,#N/A,FALSE,"Annex-II"}</definedName>
    <definedName name="wrn.Annual_n_Quarterly." hidden="1">{"Annual",#N/A,FALSE,"Sales &amp; Market";"Quarterly",#N/A,FALSE,"Sales &amp; Market"}</definedName>
    <definedName name="wrn.AnnualRentRoll" hidden="1">{"AnnualRentRoll",#N/A,FALSE,"RentRoll"}</definedName>
    <definedName name="wrn.AnnualRentRoll." hidden="1">{"AnnualRentRoll",#N/A,FALSE,"RentRoll"}</definedName>
    <definedName name="wrn.AnnualRentRoll._1" hidden="1">{"AnnualRentRoll",#N/A,FALSE,"RentRoll"}</definedName>
    <definedName name="wrn.AnnualRentRoll_1" hidden="1">{"AnnualRentRoll",#N/A,FALSE,"RentRoll"}</definedName>
    <definedName name="wrn.ANZ._.Report." hidden="1">{#N/A,#N/A,FALSE,"Balance Sheets";#N/A,#N/A,FALSE,"96 Conservative";#N/A,#N/A,FALSE,"96 Possible"}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T." hidden="1">{"Page1",#N/A,FALSE,"APCT";"Page2",#N/A,FALSE,"APCT"}</definedName>
    <definedName name="wrn.APL." hidden="1">{"Page1",#N/A,FALSE,"APL";"Page2",#N/A,FALSE,"APL"}</definedName>
    <definedName name="wrn.apt1." hidden="1">{#N/A,#N/A,FALSE,"Summary"}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._.Book." hidden="1">{#N/A,#N/A,FALSE,"Model Assumptions"}</definedName>
    <definedName name="wrn.B.._.Qtr._.of._.Responsibility." hidden="1">{"C COM Detail Qtr of",#N/A,FALSE,"DATA";"D Exp Detail Qtr of",#N/A,FALSE,"DATA"}</definedName>
    <definedName name="wrn.B.SHEET." hidden="1">{#N/A,#N/A,FALSE,"COMICRO";#N/A,#N/A,FALSE,"BALSCH";#N/A,#N/A,FALSE,"GLASS";#N/A,#N/A,FALSE,"DEPRE";#N/A,#N/A,FALSE,"A&amp;MCUR";#N/A,#N/A,FALSE,"AGEANAlysis";#N/A,#N/A,FALSE,"CHECKS";#N/A,#N/A,FALSE,"CHECKS"}</definedName>
    <definedName name="wrn.Back._.Page." hidden="1">{"Back Page",#N/A,FALSE,"Front and Back"}</definedName>
    <definedName name="wrn.backup." hidden="1">{"financials",#N/A,FALSE,"BASIC";"interest",#N/A,FALSE,"BASIC";"leasing and financing",#N/A,FALSE,"BASIC";"returns back up",#N/A,FALSE,"BASIC"}</definedName>
    <definedName name="wrn.Balance._.sheet._.99." hidden="1">{#N/A,#N/A,FALSE,"Balance Sheet ";#N/A,#N/A,FALSE,"Profit &amp; Loss ";#N/A,#N/A,FALSE,"SCH A,B,D,E,F,G,H,I,J";#N/A,#N/A,FALSE,"Sch C";#N/A,#N/A,FALSE,"SCH - k,l,m";#N/A,#N/A,FALSE,"Annexure ";#N/A,#N/A,FALSE,"Grouping ";#N/A,#N/A,FALSE,"TRIAL BAL 3112";#N/A,#N/A,FALSE,"ABSTRACT";#N/A,#N/A,FALSE,"SALARY ";#N/A,#N/A,FALSE,"CREDITORS ";#N/A,#N/A,FALSE,"TRIAL-ADJUSTMENT ";#N/A,#N/A,FALSE,"DETAILS"}</definedName>
    <definedName name="wrn.Balance._.Sheet._.Set.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ancesheet._.2000." hidden="1">{#N/A,#N/A,FALSE,"Balance Sheet ";#N/A,#N/A,FALSE,"Profit &amp; Loss ";#N/A,#N/A,FALSE,"Sch-A,B,D,E,F,G,H,I,J";#N/A,#N/A,FALSE,"SCH C ";#N/A,#N/A,FALSE,"SCH - k,l,m";#N/A,#N/A,FALSE,"Grouping ";#N/A,#N/A,FALSE,"ABSTRACT";#N/A,#N/A,FALSE,"SCH-N"}</definedName>
    <definedName name="wrn.balsheet." hidden="1">{"ICDANDNONDIV",#N/A,FALSE,"BSALLNOW.XLS";"polyandpurperf",#N/A,FALSE,"BSALLNOW.XLS"}</definedName>
    <definedName name="wrn.BALSHT.">{#N/A,#N/A,FALSE,"PCPL9899"}</definedName>
    <definedName name="wrn.bank._.model." hidden="1">{"banks",#N/A,FALSE,"BASIC"}</definedName>
    <definedName name="wrn.BB." hidden="1">{"P1",#N/A,TRUE,"P1";"P2",#N/A,TRUE,"P2"}</definedName>
    <definedName name="wrn.betz." hidden="1">{"net assets",#N/A,FALSE,"summary";"asset turnover",#N/A,FALSE,"summary";"orona",#N/A,FALSE,"summary"}</definedName>
    <definedName name="wrn.Bewegungsbilanz." hidden="1">{#N/A,#N/A,FALSE,"Mittelherkunft";#N/A,#N/A,FALSE,"Mittelverwendung"}</definedName>
    <definedName name="wrn.Big._.Four._.Countries." hidden="1">{#N/A,#N/A,FALSE,"Japan";#N/A,#N/A,FALSE,"Taiwan";#N/A,#N/A,FALSE,"Thailand";#N/A,#N/A,FALSE,"Australia"}</definedName>
    <definedName name="wrn.Bilanz." hidden="1">{#N/A,#N/A,FALSE,"Layout Aktiva";#N/A,#N/A,FALSE,"Layout Passiva"}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BB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bobbb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Book." hidden="1">{"EVA",#N/A,FALSE,"SMT2";#N/A,#N/A,FALSE,"Summary";#N/A,#N/A,FALSE,"Graphs";#N/A,#N/A,FALSE,"4 Panel"}</definedName>
    <definedName name="wrn.Both." hidden="1">{"detail",#N/A,FALSE,"mfg";"summary",#N/A,FALSE,"mfg"}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S.">{#N/A,#N/A,FALSE,"PCPL9899"}</definedName>
    <definedName name="wrn.bs1." hidden="1">{"bs",#N/A,FALSE,"BS";"pl",#N/A,FALSE,"PL"}</definedName>
    <definedName name="wrn.BSA4." hidden="1">{"A4BS",#N/A,FALSE,"bs"}</definedName>
    <definedName name="wrn.bsall." hidden="1">{"bs",#N/A,FALSE,"BS";"pl",#N/A,FALSE,"PL";"res",#N/A,FALSE,"S.CAP,RES";"loans",#N/A,FALSE,"Loans";"inv",#N/A,FALSE,"C.Assets";"fa",#N/A,FALSE,"F.Assets";"ca",#N/A,FALSE,"C.Assets";"cl",#N/A,FALSE,"CL,Sales,Income";"ovh",#N/A,FALSE,"OVH"}</definedName>
    <definedName name="wrn.BSPL." hidden="1">{"BS",#N/A,FALSE,"Accounts2002 New";"PL",#N/A,FALSE,"Accounts2002 New"}</definedName>
    <definedName name="wrn.Budget._.Pack." hidden="1">{#N/A,#N/A,FALSE,"Sum";#N/A,#N/A,FALSE,"P&amp;L";#N/A,#N/A,FALSE,"SAP";#N/A,#N/A,FALSE,"Strap";#N/A,#N/A,FALSE,"B-S";#N/A,#N/A,FALSE,"C-F";#N/A,#N/A,FALSE,"MAT"}</definedName>
    <definedName name="wrn.Budget2000.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C.._.YTD._.Responsibility." hidden="1">{"A COM Detail YTD",#N/A,FALSE,"DATA";"B Exp Detail YTD",#N/A,FALSE,"DATA"}</definedName>
    <definedName name="wrn.capA4." hidden="1">{"capA4",#N/A,FALSE,"capt"}</definedName>
    <definedName name="wrn.Capex.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rdiovasculars." hidden="1">{#N/A,#N/A,FALSE,"Card";#N/A,#N/A,FALSE,"Prav";#N/A,#N/A,FALSE,"Irbe";#N/A,#N/A,FALSE,"Plavix";#N/A,#N/A,FALSE,"Capt";#N/A,#N/A,FALSE,"Fosi"}</definedName>
    <definedName name="wrn.Cash._.Flow." hidden="1">{#N/A,#N/A,FALSE,"Layout Cash Flow"}</definedName>
    <definedName name="wrn.Cash._.Flow._.vs._.PnL.Phase3" hidden="1">{"CF vs PnL",#N/A,FALSE,"CF vs P&amp;L"}</definedName>
    <definedName name="wrn.CASHPROJ.">{"CASHPROJ",#N/A,FALSE,"CASHPROJ";"BANK",#N/A,FALSE,"Bank";"SALES",#N/A,FALSE,"Sales";"AR",#N/A,FALSE,"AR";"AP",#N/A,FALSE,"AP";"DAILE",#N/A,FALSE,"Daily";"SALESVAR",#N/A,FALSE,"SalesVar";"SUM",#N/A,FALSE,"Sum"}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ntral._.Nervous._.System." hidden="1">{#N/A,#N/A,FALSE,"CNS";#N/A,#N/A,FALSE,"Serz";#N/A,#N/A,FALSE,"Ace"}</definedName>
    <definedName name="wrn.Chart._.of._.Accounts." hidden="1">{#N/A,#N/A,FALSE,"Categories";#N/A,#N/A,FALSE,"MRi INCH";#N/A,#N/A,FALSE,"COA Usage";#N/A,#N/A,FALSE,"Detail"}</definedName>
    <definedName name="wrn.Chemicals." hidden="1">{"PnL",#N/A,FALSE,"Chem P&amp;L";"Responsibility",#N/A,FALSE,"Chem P&amp;L";"Cost Control",#N/A,FALSE,"Chem P&amp;L"}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KD._.Price._.Build._.Up." hidden="1">{#N/A,#N/A,FALSE,"CKD Price Build Up"}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OMBINED." hidden="1">{#N/A,#N/A,FALSE,"INPUTS";#N/A,#N/A,FALSE,"PROFORMA BSHEET";#N/A,#N/A,FALSE,"COMBINED";#N/A,#N/A,FALSE,"HIGH YIELD";#N/A,#N/A,FALSE,"COMB_GRAPHS"}</definedName>
    <definedName name="wrn.Comparison." hidden="1">{#N/A,#N/A,TRUE,"SCR-DCOS 2001";#N/A,#N/A,TRUE,"SCR-DCOS 2000 Per Unit";#N/A,#N/A,TRUE,"SCR-DCOS 2000-01 Compare";#N/A,#N/A,TRUE,"SCR-DCOS 2002";#N/A,#N/A,TRUE,"Per Unit Comparison";#N/A,#N/A,TRUE,"SCR-DCOS 2001 Per Unit"}</definedName>
    <definedName name="wrn.COMPCO." hidden="1">{"Page1",#N/A,FALSE,"CompCo";"Page2",#N/A,FALSE,"CompCo"}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e." hidden="1">{#N/A,#N/A,FALSE,"SMT1";#N/A,#N/A,FALSE,"SMT2";#N/A,#N/A,FALSE,"Summary";#N/A,#N/A,FALSE,"Graphs";#N/A,#N/A,FALSE,"4 Panel"}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.Spreadsheet." hidden="1">{"Complete Spreadsheet",#N/A,FALSE,"BASIC"}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utation._.3CD._.Details.">{"Computation Tax",#N/A,FALSE,"43B";"Dep I.Tax",#N/A,FALSE,"43B";"I Tax Losses",#N/A,FALSE,"43B";"Annex-III 3CD",#N/A,FALSE,"43B";"Cash Payments",#N/A,FALSE,"43B";"43B",#N/A,FALSE,"43B"}</definedName>
    <definedName name="wrn.Consolidated." hidden="1">{"PnL",#N/A,FALSE,"Total P&amp;L";"Cost Control",#N/A,FALSE,"Total P&amp;L"}</definedName>
    <definedName name="wrn.Consolidated._.Accounts." hidden="1">{#N/A,#N/A,FALSE,"P&amp;L";#N/A,#N/A,FALSE,"BS";#N/A,#N/A,FALSE,"CF";#N/A,#N/A,FALSE,"Sup";#N/A,#N/A,FALSE,"Cum P&amp;L";#N/A,#N/A,FALSE,"Cum CF"}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ibution._.Margin." hidden="1">{#N/A,#N/A,FALSE,"Contr. Margin"}</definedName>
    <definedName name="wrn.contvar." hidden="1">{#N/A,"ContVar for 00-01",FALSE,"Contribution";#N/A,"ContVar for QI",FALSE,"Contribution";#N/A,"Contvar for Mon",FALSE,"Contribution"}</definedName>
    <definedName name="wrn.COS." hidden="1">{"PAGE 1",#N/A,FALSE,"COS";"PAGE 2",#N/A,FALSE,"COS";"PAGE 3",#N/A,FALSE,"COS"}</definedName>
    <definedName name="wrn.COS._.EX._.GEISMAR." hidden="1">{"PAGE 1",#N/A,FALSE,"COS Excluding Geismar";"PAGE 2",#N/A,FALSE,"COS Excluding Geismar";"PAGE 3",#N/A,FALSE,"COS Excluding Geismar"}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t._.Inputs." hidden="1">{"Cost Inputs",#N/A,FALSE,"Cost Inputs"}</definedName>
    <definedName name="wrn.COST._.OF._.SALES." hidden="1">{"COST OF SALES",#N/A,FALSE,"C.O.SALES"}</definedName>
    <definedName name="wrn.Country._.by._.Year." hidden="1">{#N/A,#N/A,TRUE,"Argentina";#N/A,#N/A,TRUE,"Brazil";#N/A,#N/A,TRUE,"Venezuela";#N/A,#N/A,TRUE,"Chile";#N/A,#N/A,TRUE,"Other LA";#N/A,#N/A,TRUE,"Puerto Rico";#N/A,#N/A,TRUE,"Group Office"}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Summary._.Sheets.Phase3" hidden="1">{"Summary Sheet",#N/A,FALSE,"Summary vs Budget";"Summary Sheet",#N/A,FALSE,"Master vs Budget";"Summary Sheet",#N/A,FALSE,"Stage 1 vs Budget";"Summary Sheet",#N/A,FALSE,"Stage 2 vs Budget";"Summary Sheet",#N/A,FALSE,"Stage 3 vs Budget";"Summary Sheet",#N/A,FALSE,"SalesInfo vs Budget";"Summary Sheet",#N/A,FALSE,"Stock Route vs Budget";"Summary Sheet",#N/A,FALSE,"Stock Route Park vs Budget"}</definedName>
    <definedName name="wrn.Customer._.with._.Site._.Equipment." hidden="1">{"Customer with Site Equipment",#N/A,FALSE,"BASIC"}</definedName>
    <definedName name="wrn.Customer._.with._.Site._.Pricing." hidden="1">{"Customer with Site Pricing",#N/A,FALSE,"BASIC"}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.._.Performance." hidden="1">{"A Performance Report",#N/A,FALSE,"%Performance"}</definedName>
    <definedName name="wrn.Danilo." hidden="1">{#N/A,#N/A,TRUE,"Main Issues";#N/A,#N/A,TRUE,"Income statement ($)"}</definedName>
    <definedName name="wrn.data.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_.Input." hidden="1">{"Data Input Sheet 1",#N/A,FALSE,"Data Input - Sheet 1";"Data Input Sheet 2",#N/A,FALSE,"Data Input - Sheet 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c02." hidden="1">{#N/A,#N/A,FALSE,"BS"}</definedName>
    <definedName name="wrn.dep." hidden="1">{"dep. full detail",#N/A,FALSE,"annex";"3cd annex",#N/A,FALSE,"annex";"co. dep.",#N/A,FALSE,"annex"}</definedName>
    <definedName name="wrn.DEPRECIATION." hidden="1">{"Depreciation",#N/A,FALSE,"DEPRECIATION"}</definedName>
    <definedName name="wrn.depschA4." hidden="1">{"A4depsch",#N/A,FALSE,"fa&amp;dep"}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.Balance._.Sheet." hidden="1">{#N/A,#N/A,FALSE,"Detail"}</definedName>
    <definedName name="wrn.Detail_Projection." hidden="1">{#N/A,#N/A,FALSE,"Detail YTD"}</definedName>
    <definedName name="wrn.Detailed._.P._.and._.L." hidden="1">{"P and L Detail Page 1",#N/A,FALSE,"Data";"P and L Detail Page 2",#N/A,FALSE,"Data"}</definedName>
    <definedName name="wrn.Direcciones." hidden="1">{#N/A,#N/A,FALSE,"SUMARIO";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;#N/A,#N/A,FALSE,"D17";#N/A,#N/A,FALSE,"D18";#N/A,#N/A,FALSE,"D19";#N/A,#N/A,FALSE,"D20";#N/A,#N/A,FALSE,"D21";#N/A,#N/A,FALSE,"D22";#N/A,#N/A,FALSE,"DLLS"}</definedName>
    <definedName name="wrn.DMark." hidden="1">{#N/A,#N/A,FALSE,"DM ACS";#N/A,#N/A,FALSE,"DM P&amp;L";#N/A,#N/A,FALSE,"DM BS";#N/A,#N/A,FALSE,"DM CF"}</definedName>
    <definedName name="wrn.document." hidden="1">{"consolidated",#N/A,FALSE,"Sheet1";"cms",#N/A,FALSE,"Sheet1";"fse",#N/A,FALSE,"Sheet1"}</definedName>
    <definedName name="wrn.Dollars." hidden="1">{#N/A,#N/A,FALSE,"$ ACS";#N/A,#N/A,FALSE,"$ P&amp;L";#N/A,#N/A,FALSE,"$ BS";#N/A,#N/A,FALSE,"$ CF"}</definedName>
    <definedName name="wrn.Draft." hidden="1">{"Draft",#N/A,FALSE,"Feb-96"}</definedName>
    <definedName name="wrn.Drucken._.H.C.._.Starck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ue_stringhe_bdg_po.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rn.due_stringhe_bdg_tc." hidden="1">{"due_stringhe_bdg_tc",#N/A,FALSE,"TOT_VET_00";"due_stringhe_bdg_tc",#N/A,FALSE,"TOT_VET_FIAT";"due_stringhe_bdg_tc",#N/A,FALSE,"SEICENTO";"due_stringhe_bdg_tc",#N/A,FALSE,"SEIC+VAN";"due_stringhe_bdg_tc",#N/A,FALSE,"PANDA";"due_stringhe_bdg_tc",#N/A,FALSE,"PANDA+VAN";"due_stringhe_bdg_tc",#N/A,FALSE,"PUNTO";"due_stringhe_bdg_tc",#N/A,FALSE,"188";"due_stringhe_bdg_tc",#N/A,FALSE,"188_BN+VAN";"due_stringhe_bdg_tc",#N/A,FALSE,"PALIO-2V";"due_stringhe_bdg_tc",#N/A,FALSE,"PALIOWE";"due_stringhe_bdg_tc",#N/A,FALSE,"BRAVO_A";"due_stringhe_bdg_tc",#N/A,FALSE,"TIPO2";"due_stringhe_bdg_tc",#N/A,FALSE,"MAREA";"due_stringhe_bdg_tc",#N/A,FALSE,"MAREA+MAR";"due_stringhe_bdg_tc",#N/A,FALSE,"COUPE";"due_stringhe_bdg_tc",#N/A,FALSE,"BARCHETTA";"due_stringhe_bdg_tc",#N/A,FALSE,"MULTIPLA";"due_stringhe_bdg_tc",#N/A,FALSE,"ULYSSE";"due_stringhe_bdg_tc",#N/A,FALSE,"NUO_ULY";"due_stringhe_bdg_tc",#N/A,FALSE,"ULY TOT";"due_stringhe_bdg_tc",#N/A,FALSE,"DOBLO_TOT";"due_stringhe_bdg_tc",#N/A,FALSE,"DOBLO_PERS"}</definedName>
    <definedName name="wrn.due_stringhe_po_tc.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wrn.Economic._.Value._.Added._.Analysis." hidden="1">{"EVA",#N/A,FALSE,"EVA";"WACC",#N/A,FALSE,"WACC"}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 hidden="1">{"PnL",#N/A,FALSE,"Equip P&amp;L";"Responsibility",#N/A,FALSE,"Equip P&amp;L";"Cost Control",#N/A,FALSE,"Equip P&amp;L"}</definedName>
    <definedName name="wrn.Equipment._.List." hidden="1">{"Equipment List",#N/A,FALSE,"BASIC"}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W." hidden="1">{#N/A,#N/A,FALSE,"EW"}</definedName>
    <definedName name="wrn.EW._1" hidden="1">{#N/A,#N/A,FALSE,"EW"}</definedName>
    <definedName name="wrn.EW._2" hidden="1">{#N/A,#N/A,FALSE,"EW"}</definedName>
    <definedName name="wrn.EW._3" hidden="1">{#N/A,#N/A,FALSE,"EW"}</definedName>
    <definedName name="wrn.EW._4" hidden="1">{#N/A,#N/A,FALSE,"EW"}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utive._.Summary." hidden="1">{#N/A,#N/A,FALSE,"Exec 2000";#N/A,#N/A,FALSE,"Exec 2001";#N/A,#N/A,FALSE,"Exec Comparison"}</definedName>
    <definedName name="wrn.ExitAndSalesAssumptions." hidden="1">{#N/A,#N/A,FALSE,"ExitStratigy"}</definedName>
    <definedName name="wrn.ExitAndSalesAssumptions._1" hidden="1">{#N/A,#N/A,FALSE,"ExitStratigy"}</definedName>
    <definedName name="wrn.fc." hidden="1">{"letter",#N/A,FALSE,"Letter";"amort",#N/A,FALSE,"Amort"}</definedName>
    <definedName name="wrn.FCB." hidden="1">{"FCB_ALL",#N/A,FALSE,"FCB"}</definedName>
    <definedName name="wrn.fcb2" hidden="1">{"FCB_ALL",#N/A,FALSE,"FCB"}</definedName>
    <definedName name="wrn.FCRP." hidden="1">{#N/A,#N/A,FALSE,"FCRP EQUITY BAL BY PROJECT";#N/A,#N/A,FALSE,"TB Variance (2)"}</definedName>
    <definedName name="wrn.FCRP._.STRATEGIC._.PLAN.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FFM." hidden="1">{#N/A,#N/A,FALSE,"FFM"}</definedName>
    <definedName name="wrn.Fin._.Year._.95.96.Phase3" hidden="1">{"Fin Year 95.96",#N/A,FALSE,"Cash Flow"}</definedName>
    <definedName name="wrn.final.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wrn.Financial._.Output." hidden="1">{"P and L",#N/A,FALSE,"Financial Output";"Cashflow",#N/A,FALSE,"Financial Output";"Balance Sheet",#N/A,FALSE,"Financial Output"}</definedName>
    <definedName name="wrn.Financials._.April._.02._.Rs._.000.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inanzbedarfsrechnung." hidden="1">{#N/A,#N/A,FALSE,"Finanzbedarfsrechnung"}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Record." hidden="1">{"Five Year Record",#N/A,FALSE,"Front and Back"}</definedName>
    <definedName name="wrn.Fixed._.Fringe._.Realignment._.Parallel." hidden="1">{#N/A,#N/A,TRUE,"CFA Business Element Org Names";#N/A,#N/A,TRUE,"Corp Acctg Org Names"}</definedName>
    <definedName name="wrn.FORM1." hidden="1">{#N/A,#N/A,FALSE,"COMP"}</definedName>
    <definedName name="wrn.FORM1._1">#N/A</definedName>
    <definedName name="wrn.FORM1._2">#N/A</definedName>
    <definedName name="wrn.FORM1._3">#N/A</definedName>
    <definedName name="wrn.FORM1._4">#N/A</definedName>
    <definedName name="wrn.FORM1._5">#N/A</definedName>
    <definedName name="wrn.FORNDV." hidden="1">{"FORNDV",#N/A,FALSE,"Sheet1"}</definedName>
    <definedName name="wrn.FREE." hidden="1">{#N/A,#N/A,FALSE,"FREE"}</definedName>
    <definedName name="wrn.FREE._1" hidden="1">{#N/A,#N/A,FALSE,"FREE"}</definedName>
    <definedName name="wrn.FREE._2" hidden="1">{#N/A,#N/A,FALSE,"FREE"}</definedName>
    <definedName name="wrn.FREE._3" hidden="1">{#N/A,#N/A,FALSE,"FREE"}</definedName>
    <definedName name="wrn.FREE._4" hidden="1">{#N/A,#N/A,FALSE,"FREE"}</definedName>
    <definedName name="wrn.Front._.Page." hidden="1">{"Front Page",#N/A,FALSE,"Front and Back"}</definedName>
    <definedName name="wrn.Ful._.Set.">{"Bsheet",#N/A,FALSE,"Details";"P&amp;L",#N/A,FALSE,"Details";"Schedule",#N/A,FALSE,"Details";"Details",#N/A,FALSE,"Details"}</definedName>
    <definedName name="wrn.Full._.Cash._.Flow.Phase3" hidden="1">{"Full Cash Flow",#N/A,FALSE,"Cash Flow"}</definedName>
    <definedName name="wrn.Full._.Financials." hidden="1">{#N/A,#N/A,TRUE,"Financials";#N/A,#N/A,TRUE,"Operating Statistics";#N/A,#N/A,TRUE,"Capex &amp; Depreciation";#N/A,#N/A,TRUE,"Debt"}</definedName>
    <definedName name="wrn.Full._.Month._.Report." hidden="1">{#N/A,#N/A,TRUE,"P&amp;L";#N/A,#N/A,TRUE,"B-S";#N/A,#N/A,TRUE,"C-F";#N/A,#N/A,TRUE,"MAT";#N/A,#N/A,TRUE,"P2";#N/A,#N/A,TRUE,"P8";#N/A,#N/A,TRUE,"P5";#N/A,#N/A,TRUE,"Emp"}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Set.">{"Bsheet",#N/A,FALSE,"Details";"P&amp;l",#N/A,FALSE,"Details";"Schedule",#N/A,FALSE,"Details";"Details",#N/A,FALSE,"Details";"Annexue II",#N/A,FALSE,"Details";"Branch Bs",#N/A,FALSE,"Details";"Branch PL",#N/A,FALSE,"Details"}</definedName>
    <definedName name="wrn.Full._.view." hidden="1">{"Full view",#N/A,FALSE,"Market view";"Full view",#N/A,FALSE,"Market view"}</definedName>
    <definedName name="wrn.Full._.without._.data.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fin.1" hidden="1">{#N/A,#N/A,TRUE,"Financials";#N/A,#N/A,TRUE,"Operating Statistics";#N/A,#N/A,TRUE,"Capex &amp; Depreciation";#N/A,#N/A,TRUE,"Debt"}</definedName>
    <definedName name="wrn.fullreport.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Y00._.Summary." hidden="1">{"FY00",#N/A,FALSE,"Sheet1"}</definedName>
    <definedName name="wrn.FY01._.Target." hidden="1">{"FY01 TARGET",#N/A,FALSE,"Sheet1"}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.C.P.L.." hidden="1">{#N/A,#N/A,FALSE,"gc (2)"}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ographic._.Trends." hidden="1">{"Geographic P1",#N/A,FALSE,"Division &amp; Geog"}</definedName>
    <definedName name="wrn.GRAPHS." hidden="1">{#N/A,#N/A,FALSE,"ACQ_GRAPHS";#N/A,#N/A,FALSE,"T_1 GRAPHS";#N/A,#N/A,FALSE,"T_2 GRAPHS";#N/A,#N/A,FALSE,"COMB_GRAPHS"}</definedName>
    <definedName name="wrn.Guidelines." hidden="1">{"Guidelines",#N/A,FALSE,"Guidelines"}</definedName>
    <definedName name="wrn.GuV." hidden="1">{#N/A,#N/A,FALSE,"Layout GuV"}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h." hidden="1">{#N/A,#N/A,FALSE,"Sheet1"}</definedName>
    <definedName name="wrn.Hongkong." hidden="1">{#N/A,#N/A,FALSE,"Tbal";#N/A,#N/A,FALSE,"Trans";#N/A,#N/A,FALSE,"A-1";#N/A,#N/A,FALSE,"A-2";#N/A,#N/A,FALSE,"A-6";#N/A,#N/A,FALSE,"A-15";#N/A,#N/A,FALSE,"B-1";#N/A,#N/A,FALSE,"B-11"}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" hidden="1">{#N/A,#N/A,FALSE,"FINAL"}</definedName>
    <definedName name="wrn.income._.statement." hidden="1">{"income statement",#N/A,FALSE,"ATLAS-A"}</definedName>
    <definedName name="wrn.INCOME1." hidden="1">{#N/A,#N/A,FALSE,"FINAL"}</definedName>
    <definedName name="wrn.income2" hidden="1">{#N/A,#N/A,FALSE,"FINAL"}</definedName>
    <definedName name="wrn.INCOME2." hidden="1">{#N/A,#N/A,FALSE,"FINAL"}</definedName>
    <definedName name="WRN.INCOME3." hidden="1">{#N/A,#N/A,FALSE,"FINAL"}</definedName>
    <definedName name="WRN.INCOME4" hidden="1">{#N/A,#N/A,FALSE,"FINAL"}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DICES." hidden="1">{"Indices",#N/A,FALSE,"INDICES"}</definedName>
    <definedName name="wrn.INDIRECT._.COSTS." hidden="1">{"Indirect Costs",#N/A,FALSE,"INDIRECT COSTS"}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put._.Screen." hidden="1">{#N/A,#N/A,FALSE,"Input"}</definedName>
    <definedName name="wrn.Inputs." hidden="1">{"Cost Inputs",#N/A,FALSE,"Cost Inputs";"Revenue Inputs",#N/A,FALSE,"Revenue Inputs";"Other Inputs",#N/A,FALSE,"Other Inputs"}</definedName>
    <definedName name="wrn.Inversión._.por._.plaza." hidden="1">{#N/A,#N/A,FALSE,"BALLANTINE´S ";#N/A,#N/A,FALSE,"FUNDADOR"}</definedName>
    <definedName name="wrn.ISBL." hidden="1">{#N/A,#N/A,FALSE,"ISBL"}</definedName>
    <definedName name="wrn.ISBL._1" hidden="1">{#N/A,#N/A,FALSE,"ISBL"}</definedName>
    <definedName name="wrn.ISBL._2" hidden="1">{#N/A,#N/A,FALSE,"ISBL"}</definedName>
    <definedName name="wrn.ISBL._3" hidden="1">{#N/A,#N/A,FALSE,"ISBL"}</definedName>
    <definedName name="wrn.ISBL._4" hidden="1">{#N/A,#N/A,FALSE,"ISBL"}</definedName>
    <definedName name="wrn.ISRAEL." hidden="1">{#N/A,#N/A,FALSE,"TECH CENTRE RXDU66";#N/A,#N/A,FALSE,"ASU VAAX66";#N/A,#N/A,FALSE,"TCM VAKX66"}</definedName>
    <definedName name="wrn.JANI._.REBATES." hidden="1">{"TOTAL",#N/A,FALSE,"A";"FISCAL94",#N/A,FALSE,"A";"FISCAL95",#N/A,FALSE,"A";"FISCAL96",#N/A,FALSE,"A";"misc page",#N/A,FALSE,"A"}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OHN.">{#N/A,#N/A,FALSE,"John TTL";#N/A,#N/A,FALSE,"ADM";#N/A,#N/A,FALSE,"MARKETING";#N/A,#N/A,FALSE,"CARDPHONE";#N/A,#N/A,FALSE,"755-NEW APP";#N/A,#N/A,FALSE,"CREDIT";#N/A,#N/A,FALSE,"CCSI OPS";#N/A,#N/A,FALSE,"799-FAS91";#N/A,#N/A,FALSE,"769-CoBrand";#N/A,#N/A,FALSE,"card other"}</definedName>
    <definedName name="wrn.John._.AP.">{#N/A,#N/A,FALSE,"735";#N/A,#N/A,FALSE,"704";#N/A,#N/A,FALSE,"720";#N/A,#N/A,FALSE,"721";#N/A,#N/A,FALSE,"727";#N/A,#N/A,FALSE,"737";#N/A,#N/A,FALSE,"795";#N/A,#N/A,FALSE,"796";#N/A,#N/A,FALSE,"755-NEW APP";#N/A,#N/A,FALSE,"750";#N/A,#N/A,FALSE,"711";#N/A,#N/A,FALSE,"710";#N/A,#N/A,FALSE,"712";#N/A,#N/A,FALSE,"746";#N/A,#N/A,FALSE,"747";#N/A,#N/A,FALSE,"700";#N/A,#N/A,FALSE,"701";#N/A,#N/A,FALSE,"756";#N/A,#N/A,FALSE,"730";#N/A,#N/A,FALSE,"754";#N/A,#N/A,FALSE,"709";#N/A,#N/A,FALSE,"763";#N/A,#N/A,FALSE,"773";#N/A,#N/A,FALSE,"799-FAS91";#N/A,#N/A,FALSE,"769-CoBrand";#N/A,#N/A,FALSE,"card other"}</definedName>
    <definedName name="wrn.JohnTTL.">{#N/A,#N/A,FALSE,"John TTL";#N/A,#N/A,FALSE,"ADM";#N/A,#N/A,FALSE,"MARKETING";#N/A,#N/A,FALSE,"CARDPHONE";#N/A,#N/A,FALSE,"CREDIT";#N/A,#N/A,FALSE,"CCSI OPS";#N/A,#N/A,FALSE,"John TTL"}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KK._.Review.2" hidden="1">{#N/A,#N/A,FALSE,"Cover";#N/A,#N/A,FALSE,"Profits";#N/A,#N/A,FALSE,"ABS";#N/A,#N/A,FALSE,"TFLE Detail";#N/A,#N/A,FALSE,"TFLE Walk";#N/A,#N/A,FALSE,"Variable Cost";#N/A,#N/A,FALSE,"V.C. Walk"}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JD._.Review._.1." hidden="1">{"LJD 1",#N/A,FALSE,"Master";"LJD 2",#N/A,FALSE,"Sheet2";"LJD 3",#N/A,FALSE,"Sheet1";"LJD 4",#N/A,FALSE,"Sheet3";"LJD 5",#N/A,FALSE,"Sheet4"}</definedName>
    <definedName name="wrn.LoanInformation." hidden="1">{#N/A,#N/A,FALSE,"LoanAssumptions"}</definedName>
    <definedName name="wrn.LoanInformation._1" hidden="1">{#N/A,#N/A,FALSE,"LoanAssumptions"}</definedName>
    <definedName name="wrn.lodging." hidden="1">{"p",#N/A,FALSE,"Sheet1";"p 2",#N/A,FALSE,"Sheet1";"p 3",#N/A,FALSE,"Sheet1"}</definedName>
    <definedName name="wrn.lodging._1" hidden="1">{"p",#N/A,FALSE,"Sheet1";"p 2",#N/A,FALSE,"Sheet1";"p 3",#N/A,FALSE,"Sheet1"}</definedName>
    <definedName name="wrn.LPNL." hidden="1">{"LPNL1",#N/A,FALSE,"EntitiesWithReclasses";"LPNL2",#N/A,FALSE,"EntitiesWithReclasses";"LPNL3",#N/A,FALSE,"EntitiesWithReclasses"}</definedName>
    <definedName name="wrn.lsp." hidden="1">{#N/A,#N/A,FALSE,"index";#N/A,#N/A,FALSE,"prudential";#N/A,#N/A,FALSE,"com.verif";#N/A,#N/A,FALSE,"COND.PREC";#N/A,#N/A,FALSE,"DRAWDOWN";#N/A,#N/A,FALSE,"SETTL.INSTR";#N/A,#N/A,FALSE,"LIST DOC.";#N/A,#N/A,FALSE,"COND.SUBS.";#N/A,#N/A,FALSE,"annualrev";#N/A,#N/A,FALSE,"financ.rev"}</definedName>
    <definedName name="wrn.LTCG." hidden="1">{"office ltcg",#N/A,FALSE,"gain01";"IT LTCG",#N/A,FALSE,"gain01"}</definedName>
    <definedName name="wrn.MANAGEMENT._.COSTS." hidden="1">{"MANAGEMENT COSTS",#N/A,FALSE,"C.CENTRE"}</definedName>
    <definedName name="wrn.MARKF98FULL." hidden="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wrn.MARKF98H." hidden="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wrn.MARKF98P.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_.Full.phase3" hidden="1">{"Full Master",#N/A,FALSE,"Master"}</definedName>
    <definedName name="wrn.MBL._.Funding." hidden="1">{"MBL Funding",#N/A,FALSE,"MBL Funding"}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.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.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6.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7.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F._.commentary._.on._.variance." hidden="1">{"Commentary",#N/A,FALSE,"May"}</definedName>
    <definedName name="wrn.MF._.with._.BA._.detail." hidden="1">{"BA detail",#N/A,FALSE,"Q3YTD "}</definedName>
    <definedName name="wrn.Mid._.Qtr._.Fcst.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n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model." hidden="1">{"basic",#N/A,FALSE,"BASIC"}</definedName>
    <definedName name="wrn.Model._.Run." hidden="1">{"Summary (page 1)",#N/A,TRUE,"MODEL";"Acquisition Price (page 2)",#N/A,TRUE,"MODEL";"Financing for Acquisition (page 3)",#N/A,TRUE,"MODEL";"Pro forma Ownership (page 4)",#N/A,TRUE,"MODEL";"Balance Sheet (page 5)",#N/A,TRUE,"Balance_Sheets";"Purchase Price Allocation (page 6)",#N/A,TRUE,"MODEL";"Cash Flow (page 7)",#N/A,TRUE,"MODEL";"Earnings (page 8)",#N/A,TRUE,"MODEL";"Transaction Value (page 9)",#N/A,TRUE,"MODEL";"Full Cycle Cost (page 10)",#N/A,TRUE,"MODEL";"Replacement Efficency (page 11)",#N/A,TRUE,"MODEL";"NAV (page 12)",#N/A,TRUE,"MODEL";"Relative contribution (page 13)",#N/A,TRUE,"MODEL";"Operations (page 14)",#N/A,TRUE,"MODEL";"Share Price (page 15)",#N/A,TRUE,"MODEL";"Sensitivity 1 (page 16 - 19)",#N/A,TRUE,"MODEL";"Sensitivity 2 (page 20)",#N/A,TRUE,"MODEL"}</definedName>
    <definedName name="wrn.Modello.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nthly._.Financials.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Reports.Phase3" hidden="1">{"Summary Sheet",#N/A,FALSE,"vs Budget";"Fin Year 95.96",#N/A,FALSE,"Cash Flow"}</definedName>
    <definedName name="wrn.MonthlyRentRoll." hidden="1">{"MonthlyRentRoll",#N/A,FALSE,"RentRoll"}</definedName>
    <definedName name="wrn.MonthlyRentRoll._1" hidden="1">{"MonthlyRentRoll",#N/A,FALSE,"RentRoll"}</definedName>
    <definedName name="wrn.mortassetplan.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PP." hidden="1">{#N/A,#N/A,FALSE,"Mukesh Shivdasani"}</definedName>
    <definedName name="wrn.msc._.sw._.feat._.summary." hidden="1">{"msc sw feat summary",#N/A,FALSE,"MSC SW Features v. 1.1."}</definedName>
    <definedName name="wrn.MSR." hidden="1">{#N/A,#N/A,FALSE,"QC REVIEW"}</definedName>
    <definedName name="wrn.MTHLYGP.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{"TXO2N2_SLS",#N/A,FALSE,"MTHLYSLES";"TXH2_SLS",#N/A,FALSE,"MTHLYSLES";"LOUIS_SLS",#N/A,FALSE,"MTHLYSLES";"H2_SLS",#N/A,FALSE,"MTHLYSLES";"O2N2_SLS",#N/A,FALSE,"MTHLYSLES";"PACKAGE_SLS",#N/A,FALSE,"MTHLYSLES"}</definedName>
    <definedName name="wrn.MTHYLYVOL." hidden="1">{"TEXO2N2_VOL",#N/A,FALSE,"MTHLYVOL";"TEXH2_VOL",#N/A,FALSE,"MTHLYVOL";"LOUIS_VOL",#N/A,FALSE,"MTHLYVOL";"H2_VOL",#N/A,FALSE,"MTHLYVOL";"O2N2_VOL",#N/A,FALSE,"MTHLYVOL";"PACKAGE_VOL",#N/A,FALSE,"MTHLYVOL"}</definedName>
    <definedName name="wrn.NAVEEN." hidden="1">{#N/A,#N/A,FALSE,"BS";#N/A,#N/A,FALSE,"PL";#N/A,#N/A,FALSE,"Schdl 1,2,3";#N/A,#N/A,FALSE,"Schd 4";#N/A,#N/A,FALSE,"Sch -5,6 (2)";#N/A,#N/A,FALSE,"Schd 7,8,9,10";#N/A,#N/A,FALSE,"Schd 11";#N/A,#N/A,FALSE,"schd 12, 13,14"}</definedName>
    <definedName name="wrn.net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Non._.Div._.Balance._.Sheet." hidden="1">{#N/A,"NONDV",FALSE,"BSHIST.XLS"}</definedName>
    <definedName name="wrn.Norcros._.Forms." hidden="1">{#N/A,#N/A,FALSE,"Nx1";#N/A,#N/A,FALSE,"Nx2";#N/A,#N/A,FALSE,"Nx3";#N/A,#N/A,FALSE,"Nx4"}</definedName>
    <definedName name="wrn.North._.America." hidden="1">{"PnL",#N/A,FALSE,"Gas NA P&amp;L";"Responsibility",#N/A,FALSE,"Gas NA P&amp;L";"Cost Control",#N/A,FALSE,"Gas NA P&amp;L";"Program List",#N/A,FALSE,"Gas NA P&amp;L"}</definedName>
    <definedName name="wrn.notcomplete" hidden="1">{#N/A,#N/A,FALSE,"SMT1";#N/A,#N/A,FALSE,"SMT2";#N/A,#N/A,FALSE,"Summary";#N/A,#N/A,FALSE,"Graphs";#N/A,#N/A,FALSE,"4 Panel"}</definedName>
    <definedName name="wrn.note._.on._.cif." hidden="1">{#N/A,#N/A,FALSE,"CIF APR'03-SEP'03 (2)"}</definedName>
    <definedName name="wrn.ntfinance." hidden="1">{"Rate",#N/A,TRUE,"SUMMARY";"Ratios",#N/A,TRUE,"Ratios";"BUDGETREVENUE",#N/A,TRUE,"Revenue";"TOTALS",#N/A,TRUE,"DETAIL"}</definedName>
    <definedName name="wrn.oct_res_comm." hidden="1">{"oct_res_comm",#N/A,FALSE,"VarToBud"}</definedName>
    <definedName name="wrn.Oncology." hidden="1">{#N/A,#N/A,FALSE,"Onco";#N/A,#N/A,FALSE,"Taxol";#N/A,#N/A,FALSE,"UFT";#N/A,#N/A,FALSE,"Carb"}</definedName>
    <definedName name="wrn.One._.Pager._.plus._.Technicals." hidden="1">{#N/A,#N/A,FALSE,"One Pager";#N/A,#N/A,FALSE,"Technical"}</definedName>
    <definedName name="wrn.OperatingAssumtions." hidden="1">{#N/A,#N/A,FALSE,"OperatingAssumptions"}</definedName>
    <definedName name="wrn.OperatingAssumtions._1" hidden="1">{#N/A,#N/A,FALSE,"OperatingAssumptions"}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SBL." hidden="1">{#N/A,#N/A,FALSE,"OSBL"}</definedName>
    <definedName name="wrn.OSBL._1" hidden="1">{#N/A,#N/A,FALSE,"OSBL"}</definedName>
    <definedName name="wrn.OSBL._2" hidden="1">{#N/A,#N/A,FALSE,"OSBL"}</definedName>
    <definedName name="wrn.OSBL._3" hidden="1">{#N/A,#N/A,FALSE,"OSBL"}</definedName>
    <definedName name="wrn.OSBL._4" hidden="1">{#N/A,#N/A,FALSE,"OSBL"}</definedName>
    <definedName name="wrn.OSCOBRA.">{#N/A,#N/A,FALSE,"John TTL";#N/A,#N/A,FALSE,"Bankcard";#N/A,#N/A,FALSE,"card other";#N/A,#N/A,FALSE,"BankCard BAU";#N/A,#N/A,FALSE,"co brand"}</definedName>
    <definedName name="wrn.OTC._.Market._.Report." hidden="1">{#N/A,#N/A,FALSE,"Sales Graph";#N/A,#N/A,FALSE,"BUC Graph";#N/A,#N/A,FALSE,"P&amp;L - YTD"}</definedName>
    <definedName name="wrn.OTHER._.ADMIN._.COSTS." hidden="1">{"OTHER ADMIN COSTS",#N/A,FALSE,"C.CENTRE"}</definedName>
    <definedName name="wrn.Other._.Inputs." hidden="1">{"Other Inputs",#N/A,FALSE,"Other Inputs"}</definedName>
    <definedName name="wrn.Other._.Pharm." hidden="1">{#N/A,#N/A,FALSE,"Other";#N/A,#N/A,FALSE,"Ace";#N/A,#N/A,FALSE,"Derm"}</definedName>
    <definedName name="wrn.OTHER._.REVENUE." hidden="1">{"OTHER REVENUE",#N/A,FALSE,"OTHERS"}</definedName>
    <definedName name="wrn.Outlook._.Report." hidden="1">{#N/A,#N/A,FALSE,"Outlook for Month ";#N/A,#N/A,FALSE,"Risk for Month ";#N/A,#N/A,FALSE,"Upside for Month"}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s." hidden="1">{"Summary",#N/A,FALSE,"Summary";"UPL Monthly Cash Flow",#N/A,FALSE,"Cash Flow";"Sensitivity Graphs",#N/A,FALSE,"Graphs";"MBL Funding",#N/A,FALSE,"MBL Funding"}</definedName>
    <definedName name="wrn.OVERVIEW." hidden="1">{#N/A,#N/A,FALSE,"OVERVIEW"}</definedName>
    <definedName name="wrn.p" hidden="1">{#N/A,#N/A,FALSE,"1";#N/A,#N/A,FALSE,"2";#N/A,#N/A,FALSE,"16 - 17";#N/A,#N/A,FALSE,"18 - 19";#N/A,#N/A,FALSE,"26";#N/A,#N/A,FALSE,"27";#N/A,#N/A,FALSE,"28"}</definedName>
    <definedName name="wrn.P100B" hidden="1">{#N/A,#N/A,FALSE,"INDEX";#N/A,#N/A,FALSE,"Cost";#N/A,#N/A,FALSE,"P-1";#N/A,#N/A,FALSE,"Sheet3";#N/A,#N/A,FALSE,"Sheet4";#N/A,#N/A,FALSE,"Sheet5";#N/A,#N/A,FALSE,"Sheet6";#N/A,#N/A,FALSE,"Sheet7";#N/A,#N/A,FALSE,"Sheet8";#N/A,#N/A,FALSE,"Sheet9";#N/A,#N/A,FALSE,"Sheet10";#N/A,#N/A,FALSE,"Sheet11";#N/A,#N/A,FALSE,"Sheet12";#N/A,#N/A,FALSE,"PAGE-11";#N/A,#N/A,FALSE,"PAGE-12";#N/A,#N/A,FALSE,"PAGE-13";#N/A,#N/A,FALSE,"PAGE-14";#N/A,#N/A,FALSE,"PAGE-15"}</definedName>
    <definedName name="wrn.P78A" hidden="1">{#N/A,#N/A,FALSE,"PAGE-32";#N/A,#N/A,FALSE,"PAGE-33";#N/A,#N/A,FALSE,"PAGE-34";#N/A,#N/A,FALSE,"PAGE-35";#N/A,#N/A,FALSE,"PAGE-36";#N/A,#N/A,FALSE,"PAGE-37";#N/A,#N/A,FALSE,"PAGE-38";#N/A,#N/A,FALSE,"PAGE-39";#N/A,#N/A,FALSE,"Sheet9";#N/A,#N/A,FALSE,"DETOFSALARY"}</definedName>
    <definedName name="wrn.P98." hidden="1">{#N/A,#N/A,FALSE,"INDEX";#N/A,#N/A,FALSE,"Cost";#N/A,#N/A,FALSE,"P-1";#N/A,#N/A,FALSE,"Sheet3";#N/A,#N/A,FALSE,"Sheet4";#N/A,#N/A,FALSE,"Sheet5";#N/A,#N/A,FALSE,"Sheet6";#N/A,#N/A,FALSE,"Sheet7";#N/A,#N/A,FALSE,"Sheet8";#N/A,#N/A,FALSE,"Sheet9";#N/A,#N/A,FALSE,"Sheet10";#N/A,#N/A,FALSE,"Sheet11";#N/A,#N/A,FALSE,"Sheet12";#N/A,#N/A,FALSE,"PAGE-11";#N/A,#N/A,FALSE,"PAGE-12";#N/A,#N/A,FALSE,"PAGE-13";#N/A,#N/A,FALSE,"PAGE-14";#N/A,#N/A,FALSE,"PAGE-15"}</definedName>
    <definedName name="wrn.P98A." hidden="1">{#N/A,#N/A,FALSE,"PAGE-16";#N/A,#N/A,FALSE,"PAGE-17";#N/A,#N/A,FALSE,"PAGE-18";#N/A,#N/A,FALSE,"PAGE-19";#N/A,#N/A,FALSE,"PAGE-20";#N/A,#N/A,FALSE,"PAGE-21";#N/A,#N/A,FALSE,"PAGE-22";#N/A,#N/A,FALSE,"PAGE-23";#N/A,#N/A,FALSE,"PAGE-24";#N/A,#N/A,FALSE,"PAGE-25";#N/A,#N/A,FALSE,"PAGE-26";#N/A,#N/A,FALSE,"PAGE-27";#N/A,#N/A,FALSE,"PAGE-28";#N/A,#N/A,FALSE,"PAGE-29";#N/A,#N/A,FALSE,"PAGE-30";#N/A,#N/A,FALSE,"PAGE-31"}</definedName>
    <definedName name="wrn.P98B." hidden="1">{#N/A,#N/A,FALSE,"PAGE-32";#N/A,#N/A,FALSE,"PAGE-33";#N/A,#N/A,FALSE,"PAGE-34";#N/A,#N/A,FALSE,"PAGE-35";#N/A,#N/A,FALSE,"PAGE-36";#N/A,#N/A,FALSE,"PAGE-37";#N/A,#N/A,FALSE,"PAGE-38";#N/A,#N/A,FALSE,"PAGE-39";#N/A,#N/A,FALSE,"Sheet9";#N/A,#N/A,FALSE,"DETOFSALARY"}</definedName>
    <definedName name="wrn.P98C." hidden="1">{#N/A,#N/A,FALSE,"DETOFWAG";#N/A,#N/A,FALSE,"Sheet4";#N/A,#N/A,FALSE,"Sheet5";#N/A,#N/A,FALSE,"Sheet6";#N/A,#N/A,FALSE,"Sheet7";#N/A,#N/A,FALSE,"Sheet8";#N/A,#N/A,FALSE,"Sheet9";#N/A,#N/A,FALSE,"Sheet10";#N/A,#N/A,FALSE,"Sheet11";#N/A,#N/A,FALSE,"Sheet17";#N/A,#N/A,FALSE,"Sheet17";#N/A,#N/A,FALSE,"Sheet13";#N/A,#N/A,FALSE,"Sheet14";#N/A,#N/A,FALSE,"Sheet15";#N/A,#N/A,FALSE,"Sheet16"}</definedName>
    <definedName name="wrn.P98D." hidden="1">{#N/A,#N/A,FALSE,"Sheet1";#N/A,#N/A,FALSE,"Sheet2";#N/A,#N/A,FALSE,"Sheet3";#N/A,#N/A,FALSE,"Sheet4";#N/A,#N/A,FALSE,"Sheet5";#N/A,#N/A,FALSE,"Sheet6";#N/A,#N/A,FALSE,"ANNE-A";#N/A,#N/A,FALSE,"P - A-1";#N/A,#N/A,FALSE,"P - A-2";#N/A,#N/A,FALSE,"ANNE-B";#N/A,#N/A,FALSE,"ANNE-E";#N/A,#N/A,FALSE,"ANNE-C1";#N/A,#N/A,FALSE,"ANNE-C";#N/A,#N/A,FALSE,"ANNE-D"}</definedName>
    <definedName name="wrn.P99B" hidden="1">{#N/A,#N/A,FALSE,"PAGE-32";#N/A,#N/A,FALSE,"PAGE-33";#N/A,#N/A,FALSE,"PAGE-34";#N/A,#N/A,FALSE,"PAGE-35";#N/A,#N/A,FALSE,"PAGE-36";#N/A,#N/A,FALSE,"PAGE-37";#N/A,#N/A,FALSE,"PAGE-38";#N/A,#N/A,FALSE,"PAGE-39";#N/A,#N/A,FALSE,"Sheet9";#N/A,#N/A,FALSE,"DETOFSALARY"}</definedName>
    <definedName name="wrn.page1." hidden="1">{#N/A,#N/A,FALSE,"Sheet1"}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krs._.etc.Phase3" hidden="1">{"Summary Sheet",#N/A,FALSE,"Stock Route vs Budget";"Summary Sheet",#N/A,FALSE,"Stock Route Park vs Budget";"Summary Sheet",#N/A,FALSE,"River Park vs Budget";"Summary Sheet",#N/A,FALSE,"Central Park vs Budget";"Summary Sheet",#N/A,FALSE,"Crescent Park vs Budget";"Summary Sheet",#N/A,FALSE,"The Green vs Budget"}</definedName>
    <definedName name="wrn.pan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RKS._.URBAN._.RENEWAL._.PROJECT." hidden="1">{"DESCRIPTION OF SPREADSHEETS",#N/A,FALSE,"Description of Spreadsheets";"PROJECT INPUT FACTORS",#N/A,FALSE,"Project Input Factors";"ALLOTMENT YIELDS",#N/A,FALSE,"Allotment Yield Details";"MASTER INPUTS",#N/A,FALSE,"Master Inputs";"PHASE 1 INPUTS",#N/A,FALSE,"Phase 1 Inputs";"OTHER PHASES INPUTS",#N/A,FALSE,"Other Phases - Inputs";"MASTER COSTS",#N/A,FALSE,"Master Costs"}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erformance." hidden="1">{"Performance Details",#N/A,FALSE,"Current Yr";"Performance Details",#N/A,FALSE,"Budget";"Performance Details",#N/A,FALSE,"Prior Year"}</definedName>
    <definedName name="wrn.Period._.Report._.for._.AKE." hidden="1">{#N/A,#N/A,TRUE,"Sum";#N/A,#N/A,TRUE,"P&amp;L";#N/A,#N/A,TRUE,"B-S";#N/A,#N/A,TRUE,"C-F";#N/A,#N/A,TRUE,"Strap";#N/A,#N/A,TRUE,"SAP"}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GW." hidden="1">{#N/A,#N/A,FALSE,"PGW"}</definedName>
    <definedName name="wrn.PGW._1" hidden="1">{#N/A,#N/A,FALSE,"PGW"}</definedName>
    <definedName name="wrn.PGW._2" hidden="1">{#N/A,#N/A,FALSE,"PGW"}</definedName>
    <definedName name="wrn.PGW._3" hidden="1">{#N/A,#N/A,FALSE,"PGW"}</definedName>
    <definedName name="wrn.PGW._4" hidden="1">{#N/A,#N/A,FALSE,"PGW"}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SE._.1._.SUMMARY." hidden="1">{"PHASE 1 CASH FLOW SUMMARY",#N/A,FALSE,"Phase 1 - Cash Flow Summary";"PHASE 1 COSTS",#N/A,FALSE,"Phase 1 - Costs";"PHASE 1 SALES",#N/A,FALSE,"Phase 1 - Sales"}</definedName>
    <definedName name="wrn.PHASE._.2._.SUMMARY." hidden="1">{"PHASE 2 CASH FLOW SUMMARY",#N/A,FALSE,"Phase 2 - Cash Flow Summary";"PHASE 2 COSTS",#N/A,FALSE,"Phase 2 - Costs";"PHASE 2 SALES",#N/A,FALSE,"Phase 2 - Sales"}</definedName>
    <definedName name="wrn.PHASE._.3._.SUMMARY." hidden="1">{"PHASE 3 CASH FLOW SUMMARY",#N/A,FALSE,"Phase 3 - Cash Flow Summary";"PHASE 3 COSTS",#N/A,FALSE,"Phase 3 - Costs";"PHASE 3 SALES",#N/A,FALSE,"Phase 3 - Sales"}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.">{#N/A,#N/A,FALSE,"PCPL9899"}</definedName>
    <definedName name="wrn.Plan._.Book._.FC._.Presentation." hidden="1">{#N/A,#N/A,FALSE,"RECAP of CASH";#N/A,#N/A,FALSE,"CASH @ FC %";#N/A,#N/A,FALSE,"EBDT Reconciliation";#N/A,#N/A,FALSE,"CASH &amp; EARNINGS @ OWN%";#N/A,#N/A,FALSE,"Total Return Summary @ FC %";#N/A,#N/A,FALSE,"Total Returns @ FC %";#N/A,#N/A,FALSE,"PROFORMA CASH"}</definedName>
    <definedName name="wrn.Plan._.Book._.Supplemental._.Data." hidden="1">{#N/A,#N/A,FALSE,"Major Assumptions";#N/A,#N/A,FALSE,"Issues List";#N/A,#N/A,FALSE,"RECAP of CASH (100%)";#N/A,#N/A,FALSE,"EBDT Reconciliation";#N/A,#N/A,FALSE,"CASH &amp; EARNINGS @ 100%";#N/A,#N/A,FALSE,"Total Return Component Details";#N/A,#N/A,FALSE,"PROFORMA CASH (100%)";#N/A,#N/A,FALSE,"IRR"}</definedName>
    <definedName name="wrn.Planilhas." hidden="1">{"Presentation","Presentation",FALSE,"3 COT"}</definedName>
    <definedName name="wrn.PLBL.">{#N/A,#N/A,FALSE,"PCPL9899"}</definedName>
    <definedName name="wrn.PLBLSIGN.">{#N/A,#N/A,FALSE,"PCPL9899"}</definedName>
    <definedName name="wrn.PLSCHA4." hidden="1">{"A4PLSCH",#N/A,FALSE,"sch pl"}</definedName>
    <definedName name="wrn.plstatement." hidden="1">{#N/A,#N/A,FALSE,"Profit &amp; Loss statement"}</definedName>
    <definedName name="wrn.PM8._.table." hidden="1">{#N/A,#N/A,FALSE,"PM8 table"}</definedName>
    <definedName name="wrn.PMW._.Gruppe._.00_99.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NL._.Analysis." hidden="1">{#N/A,#N/A,FALSE,"FRANCE MONTH DETAIL  FFR";#N/A,#N/A,FALSE,"FRANCE MONTH DETAIL  NLG";#N/A,#N/A,FALSE,"FRANCE YTD  DETAIL FFR";#N/A,#N/A,FALSE,"FRANCE YTD  DETAIL NLG"}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pp" hidden="1">{#N/A,#N/A,FALSE,"1";#N/A,#N/A,FALSE,"2";#N/A,#N/A,FALSE,"16 - 17";#N/A,#N/A,FALSE,"18 - 19";#N/A,#N/A,FALSE,"26";#N/A,#N/A,FALSE,"27";#N/A,#N/A,FALSE,"28"}</definedName>
    <definedName name="wrn.Presentation." hidden="1">{#N/A,#N/A,TRUE,"Summary";"AnnualRentRoll",#N/A,TRUE,"RentRoll";#N/A,#N/A,TRUE,"ExitStratigy";#N/A,#N/A,TRUE,"OperatingAssumptions"}</definedName>
    <definedName name="wrn.Presentation._1" hidden="1">{#N/A,#N/A,TRUE,"Summary";"AnnualRentRoll",#N/A,TRUE,"RentRoll";#N/A,#N/A,TRUE,"ExitStratigy";#N/A,#N/A,TRUE,"OperatingAssumptions"}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i." hidden="1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wrn.Price_Effect." hidden="1">{"Comp_of_Price_Effect",#N/A,FALSE,"QTRDPVAR"}</definedName>
    <definedName name="wrn.prin2._.all." hidden="1">{#N/A,#N/A,FALSE,"Pharm";#N/A,#N/A,FALSE,"WWCM"}</definedName>
    <definedName name="wrn.prin3" hidden="1">{#N/A,#N/A,FALSE,"Pharm";#N/A,#N/A,FALSE,"WWCM"}</definedName>
    <definedName name="wrn.print" hidden="1">{#N/A,#N/A,FALSE,"Pharm";#N/A,#N/A,FALSE,"WWCM"}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_.ALL." hidden="1">{#N/A,#N/A,FALSE,"Pharm";#N/A,#N/A,FALSE,"WWCM"}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Schedules.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;"SchO1",#N/A,FALSE,"Schedules"}</definedName>
    <definedName name="wrn.PRINT._.ALL.2" hidden="1">{#N/A,#N/A,FALSE,"Pharm";#N/A,#N/A,FALSE,"WWCM"}</definedName>
    <definedName name="wrn.print._.all2" hidden="1">{#N/A,#N/A,FALSE,"Pharm";#N/A,#N/A,FALSE,"WWCM"}</definedName>
    <definedName name="wrn.print._.graphs." hidden="1">{"cap_structure",#N/A,FALSE,"Graph-Mkt Cap";"price",#N/A,FALSE,"Graph-Price";"ebit",#N/A,FALSE,"Graph-EBITDA";"ebitda",#N/A,FALSE,"Graph-EBITDA"}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aw._.data._.entry." hidden="1">{"inputs raw data",#N/A,TRUE,"INPUT"}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chA." hidden="1">{"SchA1",#N/A,FALSE,"Schedules";"SchA2",#N/A,FALSE,"Schedules"}</definedName>
    <definedName name="wrn.Print._.SchB." hidden="1">{"SchB1",#N/A,FALSE,"Schedules";"SchB2",#N/A,FALSE,"Schedules"}</definedName>
    <definedName name="wrn.Print._.SchC." hidden="1">{"SchC1",#N/A,FALSE,"Schedules";"SchC2",#N/A,FALSE,"Schedules"}</definedName>
    <definedName name="wrn.Print._.SchD." hidden="1">{"SchD1",#N/A,FALSE,"Schedules";"SchD2",#N/A,FALSE,"Schedules"}</definedName>
    <definedName name="wrn.Print._.SchE." hidden="1">{"SchE1",#N/A,FALSE,"Schedules";"SchE2",#N/A,FALSE,"Schedules"}</definedName>
    <definedName name="wrn.Print._.SchF." hidden="1">{"SchF1",#N/A,FALSE,"Schedules";"SchF2",#N/A,FALSE,"Schedules"}</definedName>
    <definedName name="wrn.Print._.SchG." hidden="1">{"SchG1",#N/A,FALSE,"Schedules";"SchG2",#N/A,FALSE,"Schedules"}</definedName>
    <definedName name="wrn.Print._.SchH." hidden="1">{"SchH1",#N/A,FALSE,"Schedules";"SchH2",#N/A,FALSE,"Schedules"}</definedName>
    <definedName name="wrn.Print._.SchI." hidden="1">{"SchI1",#N/A,FALSE,"Schedules";"SchI2",#N/A,FALSE,"Schedules"}</definedName>
    <definedName name="wrn.Print._.SchJ." hidden="1">{"SchJ1",#N/A,FALSE,"Schedules";"SchJ2",#N/A,FALSE,"Schedules"}</definedName>
    <definedName name="wrn.Print._.SchK." hidden="1">{"SchK1",#N/A,FALSE,"Schedules";"SchK2",#N/A,FALSE,"Schedules"}</definedName>
    <definedName name="wrn.Print._.SchL." hidden="1">{"SchL1",#N/A,FALSE,"Schedules";"SchL2",#N/A,FALSE,"Schedules"}</definedName>
    <definedName name="wrn.Print._.SchM." hidden="1">{"SchM1",#N/A,FALSE,"Schedules";"SchM2",#N/A,FALSE,"Schedules"}</definedName>
    <definedName name="wrn.Print._.SchN." hidden="1">{"SchN1",#N/A,FALSE,"Schedules"}</definedName>
    <definedName name="wrn.Print._.SchO." hidden="1">{"SchO1",#N/A,FALSE,"Schedules"}</definedName>
    <definedName name="wrn.Print._.Summary." hidden="1">{"Summ1",#N/A,FALSE,"Summary"}</definedName>
    <definedName name="wrn.print._.summary._.sheets." hidden="1">{"summary1",#N/A,TRUE,"Comps";"summary2",#N/A,TRUE,"Comps";"summary3",#N/A,TRUE,"Comps"}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1" hidden="1">{"page1",#N/A,FALSE,"Sheet1";"page2",#N/A,FALSE,"Sheet1"}</definedName>
    <definedName name="wrn.print._all1." hidden="1">{#N/A,#N/A,FALSE,"Pharm";#N/A,#N/A,FALSE,"WWCM"}</definedName>
    <definedName name="wrn.Print_all." hidden="1">{"APF",#N/A,FALSE,"Bfc98-1";"APG",#N/A,FALSE,"Bfc98-1";"APND",#N/A,FALSE,"Bfc98-1";"APSA",#N/A,FALSE,"Bfc98-1";"lhy",#N/A,FALSE,"Bfc98-1";"PEC",#N/A,FALSE,"Bfc98-1"}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" hidden="1">{#N/A,#N/A,FALSE,"Pharm";#N/A,#N/A,FALSE,"WWCM"}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wrn.printout.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REP." hidden="1">{"PRINTREP",#N/A,FALSE,"Sheet1"}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malls." hidden="1">{"Printsmall",#N/A,FALSE,"Balance Sheet"}</definedName>
    <definedName name="wrn.PRODUCTION._.COSTS." hidden="1">{"PRODUCTION COSTS",#N/A,FALSE,"C.CENTRE"}</definedName>
    <definedName name="wrn.Productivity." hidden="1">{#N/A,#N/A,FALSE,"Productivity"}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F.._.CALCULATION._.FULL._.COSTS." hidden="1">{"Prof. Calculation Full Costs",#N/A,FALSE,"Profitability calculation"}</definedName>
    <definedName name="wrn.PROF.._.CALCULATION._.INCREMENTAL._.COSTS." hidden="1">{"Prof. Calculation Incremental Costs",#N/A,FALSE,"Profitability calculation"}</definedName>
    <definedName name="wrn.Profile." hidden="1">{"Profile",#N/A,FALSE,"BXS"}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and._.Loss." hidden="1">{#N/A,#N/A,FALSE,"P&amp;L"}</definedName>
    <definedName name="wrn.Profit._.and._.Loss.Phase3" hidden="1">{"Profit and Loss",#N/A,FALSE,"9697"}</definedName>
    <definedName name="wrn.PROFIT._.LOSS._.AC." hidden="1">{"PROFIT LOSS AC",#N/A,FALSE,"P&amp;L FY97"}</definedName>
    <definedName name="wrn.Profitability." hidden="1">{#N/A,"Good",TRUE,"Sheet1";#N/A,"Normal",TRUE,"Sheet1";#N/A,"Bad",TRUE,"Sheet1"}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git._Analysis.2" hidden="1">{#N/A,#N/A,FALSE,"Profit Status";#N/A,#N/A,FALSE,"Invest";#N/A,#N/A,FALSE,"Revenue";#N/A,#N/A,FALSE,"Variable Cost";#N/A,#N/A,FALSE,"Options &amp; Series"}</definedName>
    <definedName name="wrn.Project._.Summary." hidden="1">{"Summary",#N/A,FALSE,"MICMULT";"Income Statement",#N/A,FALSE,"MICMULT";"Cash Flows",#N/A,FALSE,"MICMULT"}</definedName>
    <definedName name="wrn.PropertyInformation." hidden="1">{#N/A,#N/A,FALSE,"PropertyInfo"}</definedName>
    <definedName name="wrn.PropertyInformation._1" hidden="1">{#N/A,#N/A,FALSE,"PropertyInfo"}</definedName>
    <definedName name="wrn.pror" hidden="1">{#N/A,#N/A,FALSE,"Pharm";#N/A,#N/A,FALSE,"WWCM"}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rchase._.register." hidden="1">{#N/A,#N/A,TRUE,"RM-June"}</definedName>
    <definedName name="wrn.Pyramid." hidden="1">{#N/A,#N/A,FALSE,"Pyramid"}</definedName>
    <definedName name="wrn.QAPU." hidden="1">{#N/A,#N/A,FALSE,"5YRASSPl - consol'd";#N/A,#N/A,FALSE,"5YRASSPl - hotel";#N/A,#N/A,FALSE,"5YRASSPl - excl htl";#N/A,#N/A,FALSE,"VarReport";#N/A,#N/A,FALSE,"Sensitivity";#N/A,#N/A,FALSE,"House View ";#N/A,#N/A,FALSE,"KPI"}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uantity." hidden="1">{#N/A,#N/A,FALSE,"MONTHLY "}</definedName>
    <definedName name="WRN.QW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Range._.Values." hidden="1">{"page1",#N/A,FALSE,"Range Value - Incl Reclasses";"page2",#N/A,FALSE,"Range Value - Incl Reclasses";"page3",#N/A,FALSE,"Range Value - Incl Reclasses"}</definedName>
    <definedName name="wrn.RCC.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ceivables.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ining." hidden="1">{"Refining 1",#N/A,FALSE,"Detailed cost - crude";"Refining 2",#N/A,FALSE,"Detailed cost - crude"}</definedName>
    <definedName name="wrn.REP._.AUDIT._.MWOS._.4.5.98.">{"AUDIT-MWOS WITH POS 7.11.98",#N/A,FALSE,"AUDIT-MWOS"}</definedName>
    <definedName name="wrn.REP1.">{"REP1",#N/A,FALSE,"HSSA-LOG"}</definedName>
    <definedName name="wrn.report." hidden="1">{#N/A,#N/A,FALSE,"COVER.XLS";#N/A,#N/A,FALSE,"RACT1.XLS";#N/A,#N/A,FALSE,"RACT2.XLS";#N/A,#N/A,FALSE,"ECCMP";#N/A,#N/A,FALSE,"WELDER.XLS"}</definedName>
    <definedName name="wrn.Report._.2." hidden="1">{#N/A,#N/A,TRUE,"Pivots-Employee";#N/A,"Scenerio2",TRUE,"Assumptions Summary"}</definedName>
    <definedName name="wrn.REPORT._.7.11.98.">{#N/A,#N/A,FALSE,"AUDIT-MWOS"}</definedName>
    <definedName name="wrn.report1" hidden="1">{#N/A,#N/A,FALSE,"COVER.XLS";#N/A,#N/A,FALSE,"RACT1.XLS";#N/A,#N/A,FALSE,"RACT2.XLS";#N/A,#N/A,FALSE,"ECCMP";#N/A,#N/A,FALSE,"WELDER.XLS"}</definedName>
    <definedName name="wrn.Report1." hidden="1">{#N/A,#N/A,FALSE,"IS";#N/A,#N/A,FALSE,"BS";#N/A,#N/A,FALSE,"CF";#N/A,#N/A,FALSE,"CE";#N/A,#N/A,FALSE,"Depr";#N/A,#N/A,FALSE,"APAL"}</definedName>
    <definedName name="wrn.Reports." hidden="1">{"Print1",#N/A,TRUE,"Projected Balance Sheets";"Print2",#N/A,TRUE,"Projected Income Statements";"Print3",#N/A,TRUE,"Projected Cash Flow Statements";"Print4",#N/A,TRUE,"Projected Revenue Detail"}</definedName>
    <definedName name="wrn.Rest." hidden="1">{#N/A,#N/A,FALSE,"Annex-XV";#N/A,#N/A,FALSE,"Annex-XVI";#N/A,#N/A,FALSE,"Annex-XVII (i)";#N/A,#N/A,FALSE,"Annex-XVII (ii)"}</definedName>
    <definedName name="wrn.results." hidden="1">{#N/A,#N/A,TRUE,"BALSCH";#N/A,#N/A,TRUE,"COMICRO";#N/A,#N/A,TRUE,"CHECKS";#N/A,#N/A,TRUE,"GLASS";#N/A,#N/A,TRUE,"DEPRE";#N/A,#N/A,TRUE,"A&amp;MCUR";#N/A,#N/A,TRUE,"AGEANAlysis";#N/A,#N/A,TRUE,"CHECKS"}</definedName>
    <definedName name="wrn.Revenue._.Inputs." hidden="1">{"Revenue Inputs",#N/A,FALSE,"Revenue Inputs"}</definedName>
    <definedName name="wrn.Revenue._.quality." hidden="1">{#N/A,#N/A,FALSE,"REV. KPI MONTH  FFR";#N/A,#N/A,FALSE,"REV. KPI MONTH  NLG";#N/A,#N/A,FALSE,"REV. KPI YTD FFR";#N/A,#N/A,FALSE,"REV. KPI YTD  NLG"}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ised._.Stage._.1._.Cost._.Calc." hidden="1">{"Stage 1 Cost Calc",#N/A,FALSE,"Stage 1 Allocation"}</definedName>
    <definedName name="wrn.Revised._.Stage._.1._.Cost._.Calc.Phase3" hidden="1">{"Stage 1 Cost Calc",#N/A,FALSE,"Stage 1 Allocation"}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les." hidden="1">{"sales",#N/A,FALSE,"Sales";"sales existing",#N/A,FALSE,"Sales";"sales rd1",#N/A,FALSE,"Sales";"sales rd2",#N/A,FALSE,"Sales"}</definedName>
    <definedName name="wrn.Sales._.Info._.Centre.Phase3" hidden="1">{"Short Sales and Info",#N/A,FALSE,"Sales &amp; Info Centre"}</definedName>
    <definedName name="wrn.Sales._.n._.Info._.v._.Budget.Phase3" hidden="1">{"Summary Sheet",#N/A,FALSE,"SalesInfo vs Budget"}</definedName>
    <definedName name="wrn.SCHEDULE_F.">{#N/A,#N/A,FALSE,"SCHDULE F"}</definedName>
    <definedName name="wrn.SCHEDULE_M.">{#N/A,#N/A,FALSE,"SCHEDULE M"}</definedName>
    <definedName name="wrn.Schedules." hidden="1">{"S 1 2",#N/A,FALSE,"Accounts2002 New";"S 3 4",#N/A,FALSE,"Accounts2002 New";"S 6 7 8",#N/A,FALSE,"Accounts2002 New";"S 9 10 11 12 13",#N/A,FALSE,"Accounts2002 New";"S 14 15 16 17",#N/A,FALSE,"Accounts2002 New";"S 18 19",#N/A,FALSE,"Accounts2002 New"}</definedName>
    <definedName name="wrn.Sensitivity._.Graphs." hidden="1">{"Sensitivity Graphs",#N/A,FALSE,"Graphs"}</definedName>
    <definedName name="wrn.SIGNS.">{#N/A,#N/A,FALSE,"PCPL9899"}</definedName>
    <definedName name="wrn.SKSV." hidden="1">{"SKSV",#N/A,FALSE,"SKSV"}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PEC._.GAS._.CYLS." hidden="1">{"SPEC GAS CYLS",#N/A,FALSE,"SPEC GAS"}</definedName>
    <definedName name="wrn.sss." hidden="1">{#N/A,#N/A,TRUE,"pd_SSS";#N/A,#N/A,TRUE,"fo_SSS";#N/A,#N/A,TRUE,"eqpt_SSS";#N/A,#N/A,TRUE,"ftrs_SSS"}</definedName>
    <definedName name="wrn.Staff._.cost1998." hidden="1">{#N/A,#N/A,TRUE,"Staffnos &amp; cost"}</definedName>
    <definedName name="wrn.Staffcost." hidden="1">{#N/A,#N/A,FALSE,"Staffnos &amp; cost"}</definedName>
    <definedName name="wrn.Stage._.1._.Short.Phase3" hidden="1">{"Short Stage 1",#N/A,FALSE,"Stage 1"}</definedName>
    <definedName name="wrn.Stage._.2._.Short.Phase3" hidden="1">{"Short Stage 2",#N/A,FALSE,"Stage 2"}</definedName>
    <definedName name="wrn.Stage._.3.Phase3" hidden="1">{"Short Stage 3",#N/A,FALSE,"Stage 3"}</definedName>
    <definedName name="wrn.Stage._.4.Phase3" hidden="1">{"Short Stage 4",#N/A,FALSE,"Stage 4"}</definedName>
    <definedName name="wrn.Stage._.5.Phase3" hidden="1">{"Short Stage 5",#N/A,FALSE,"Stage 5"}</definedName>
    <definedName name="wrn.STAND_ALONE_BOTH." hidden="1">{"FCB_ALL",#N/A,FALSE,"FCB";"GREY_ALL",#N/A,FALSE,"GREY"}</definedName>
    <definedName name="wrn.Standard." hidden="1">{#N/A,#N/A,FALSE,"IS US";#N/A,#N/A,FALSE,"BS US";#N/A,#N/A,FALSE,"IS LOCAL";#N/A,#N/A,FALSE,"BS INPUT";#N/A,#N/A,FALSE,"EQUITY";#N/A,#N/A,FALSE,"LOCAL ADJ";#N/A,#N/A,FALSE,"GAAP ADJ"}</definedName>
    <definedName name="wrn.Standing._.data." hidden="1">{#N/A,#N/A,FALSE,"Standing data"}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erling." hidden="1">{#N/A,#N/A,FALSE,"£ P&amp;L";#N/A,#N/A,FALSE,"£ BS";#N/A,#N/A,FALSE,"£ CF"}</definedName>
    <definedName name="wrn.summ1" hidden="1">{#N/A,#N/A,FALSE,"COVER1.XLS ";#N/A,#N/A,FALSE,"RACT1.XLS";#N/A,#N/A,FALSE,"RACT2.XLS";#N/A,#N/A,FALSE,"ECCMP";#N/A,#N/A,FALSE,"WELDER.XLS"}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{#N/A,#N/A,FALSE,"COVER1.XLS ";#N/A,#N/A,FALSE,"RACT1.XLS";#N/A,#N/A,FALSE,"RACT2.XLS";#N/A,#N/A,FALSE,"ECCMP";#N/A,#N/A,FALSE,"WELDER.XLS"}</definedName>
    <definedName name="wrn.SUMMARY._1" hidden="1">{#N/A,#N/A,FALSE,"SUMMARY";#N/A,#N/A,FALSE,"SUMMARY"}</definedName>
    <definedName name="wrn.SUMMARY._2" hidden="1">{#N/A,#N/A,FALSE,"SUMMARY";#N/A,#N/A,FALSE,"SUMMARY"}</definedName>
    <definedName name="wrn.SUMMARY._3" hidden="1">{#N/A,#N/A,FALSE,"SUMMARY";#N/A,#N/A,FALSE,"SUMMARY"}</definedName>
    <definedName name="wrn.SUMMARY._4" hidden="1">{#N/A,#N/A,FALSE,"SUMMARY";#N/A,#N/A,FALSE,"SUMMARY"}</definedName>
    <definedName name="wrn.SYNTHESIS." hidden="1">{"Synthesis",#N/A,FALSE,"SYNTHESIS"}</definedName>
    <definedName name="wrn.Tableaux._.A." hidden="1">{#N/A,#N/A,FALSE,"Tabl. A1";#N/A,#N/A,FALSE,"Tabl. A1 b";#N/A,#N/A,FALSE,"Tabl. A2";#N/A,#N/A,FALSE,"Tabl. A2-1";#N/A,#N/A,FALSE,"Tabl. A2-2"}</definedName>
    <definedName name="wrn.Tableaux._.D." hidden="1">{#N/A,#N/A,FALSE,"Tabl. D1";#N/A,#N/A,FALSE,"Tabl. D1 b";#N/A,#N/A,FALSE,"Tabl. D2";#N/A,#N/A,FALSE,"Tabl. D2 b";#N/A,#N/A,FALSE,"Tabl. D3";#N/A,#N/A,FALSE,"Tabl. D4";#N/A,#N/A,FALSE,"Tabl. D5"}</definedName>
    <definedName name="wrn.Tableaux._.F." hidden="1">{#N/A,#N/A,FALSE,"Tabl. FB300";#N/A,#N/A,FALSE,"Tabl. FB350";#N/A,#N/A,FALSE,"Tabl. FB400";#N/A,#N/A,FALSE,"Tabl. FB500";#N/A,#N/A,FALSE,"Tabl. FS090"}</definedName>
    <definedName name="wrn.Tableaux._.G." hidden="1">{#N/A,#N/A,FALSE,"Tabl. G1";#N/A,#N/A,FALSE,"Tabl. G2"}</definedName>
    <definedName name="wrn.Tableaux._.H." hidden="1">{#N/A,#N/A,FALSE,"Tabl. H1";#N/A,#N/A,FALSE,"Tabl. H2"}</definedName>
    <definedName name="wrn.Target._.Summary." hidden="1">{"SUMMARY",#N/A,FALSE,"Sheet1"}</definedName>
    <definedName name="wrn.Tax._.Schedules." hidden="1">{#N/A,#N/A,FALSE,"106";#N/A,#N/A,FALSE,"103D";#N/A,#N/A,FALSE,"107A"}</definedName>
    <definedName name="wrn.Tenancy._.Full._.cash._.Flow." hidden="1">{"tenancy detail",#N/A,FALSE,"Tenancies";"years1_2",#N/A,FALSE,"Tenancies";"years3_4",#N/A,FALSE,"Tenancies"}</definedName>
    <definedName name="wrn.test." hidden="1">{"test2",#N/A,TRUE,"Prices"}</definedName>
    <definedName name="wrn.Test1." hidden="1">{#N/A,#N/A,FALSE,"FA Register Final"}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Title._.Page." hidden="1">{"Title Page",#N/A,FALSE,"Title sheet";"Table of contents",#N/A,FALSE,"Table of Contents"}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{"Total-All",#N/A,TRUE,"Total";"HQ-Corr-All",#N/A,TRUE,"HQCorr";"Neth.-All",#N/A,TRUE,"Netherlands";"HQ-BB-All",#N/A,TRUE,"HQ-BB";"Belgium-All",#N/A,TRUE,"Belgium";"France-All",#N/A,TRUE,"France";"Germany-All",#N/A,TRUE,"Germany";"UK-All",#N/A,TRUE,"UK"}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 hidden="1">{#N/A,"TCHEM",FALSE,"BSHIST.XLS"}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hidden="1">{#N/A,#N/A,FALSE,"Sales Graph";#N/A,#N/A,FALSE,"BUC Graph";#N/A,#N/A,FALSE,"P&amp;L - YTD"}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구매." hidden="1">{#N/A,#N/A,FALSE,"견적대비-2"}</definedName>
    <definedName name="wrn.TOWNSHIP." hidden="1">{#N/A,#N/A,FALSE,"TOWNSHIP"}</definedName>
    <definedName name="wrn.TOWNSHIP._1" hidden="1">{#N/A,#N/A,FALSE,"TOWNSHIP"}</definedName>
    <definedName name="wrn.TOWNSHIP._2" hidden="1">{#N/A,#N/A,FALSE,"TOWNSHIP"}</definedName>
    <definedName name="wrn.TOWNSHIP._3" hidden="1">{#N/A,#N/A,FALSE,"TOWNSHIP"}</definedName>
    <definedName name="wrn.TOWNSHIP._4" hidden="1">{#N/A,#N/A,FALSE,"TOWNSHIP"}</definedName>
    <definedName name="wrn.TRANSPORT._.COSTS." hidden="1">{"TRANSPORT COSTS",#N/A,FALSE,"C.CENTRE"}</definedName>
    <definedName name="wrn.tre_stringhe.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wrn.Trial._.Balance." hidden="1">{#N/A,#N/A,TRUE,"constb"}</definedName>
    <definedName name="wrn.tt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ty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UPL._.Cash._.Flow." hidden="1">{"UPL Monthly Cash Flow",#N/A,FALSE,"Cash Flow"}</definedName>
    <definedName name="wrn.upstairs." hidden="1">{"histincome",#N/A,FALSE,"hyfins";"closing balance",#N/A,FALSE,"hyfins"}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ariance." hidden="1">{"Act_vs_Budget",#N/A,FALSE,"QTRDPVAR";"Act_vs_Prior_Year",#N/A,FALSE,"QTRDPVAR"}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d." hidden="1">{#N/A,#N/A,TRUE,"BT M200 da 10x20"}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WeeklyReport." hidden="1">{#N/A,#N/A,FALSE,"Week 2002";#N/A,#N/A,FALSE,"YTD 2002";#N/A,#N/A,FALSE,"Quarterly Trend(Q3)"}</definedName>
    <definedName name="wrn.WORKING._.CAPITAL._.EARLY._.EOP." hidden="1">{"Working Capital early EOP",#N/A,FALSE,"WORKING CAPITAL"}</definedName>
    <definedName name="wrn.WORKING._.CAPITAL._.FULL._.LIFETIME." hidden="1">{"Working Capital Full Lifetime",#N/A,FALSE,"WORKING CAPITAL"}</definedName>
    <definedName name="wrn.X140." hidden="1">{"page1",#N/A,FALSE,"X140withReclasses";"page2",#N/A,FALSE,"X140withReclasses";"page3",#N/A,FALSE,"X140withReclasses"}</definedName>
    <definedName name="wrn.xrates." hidden="1">{#N/A,#N/A,FALSE,"1996";#N/A,#N/A,FALSE,"1995";#N/A,#N/A,FALSE,"1994"}</definedName>
    <definedName name="wrn.Year._.by._.Country." hidden="1">{#N/A,#N/A,TRUE,"SCR-DCOS 2000";#N/A,#N/A,TRUE,"SCR-DCOS 2001";#N/A,#N/A,TRUE,"SCR-DCOS 2002";#N/A,#N/A,TRUE,"SCR-DCOS 2003"}</definedName>
    <definedName name="wrn.Year._.to._.date._.overzicht." hidden="1">{"mndview",#N/A,TRUE,"Total 95";"vakview",#N/A,TRUE,"Total 95";#N/A,#N/A,TRUE,"Graphs"}</definedName>
    <definedName name="wrn.YTD." hidden="1">{"YTD",#N/A,FALSE,"SUM"}</definedName>
    <definedName name="wrn.YTD._.PACKAGE." hidden="1">{"YD PACKAGE",#N/A,FALSE,"YTD"}</definedName>
    <definedName name="wrn.YTD._.PRS." hidden="1">{"YD PRS",#N/A,FALSE,"YTD"}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간단한세무조정계산서." hidden="1">{#N/A,#N/A,TRUE,"1호 과표세액";#N/A,#N/A,TRUE,"6호 첨부(익)";#N/A,#N/A,TRUE,"6-3호 퇴충";#N/A,#N/A,TRUE,"PL";#N/A,#N/A,TRUE,"BS";#N/A,#N/A,TRUE,"RE";#N/A,#N/A,TRUE,"표지"}</definedName>
    <definedName name="wrn.낙관적000112." hidden="1">{#N/A,#N/A,FALSE,"추정손익계산서";#N/A,#N/A,FALSE,"추정대차대조표";#N/A,#N/A,FALSE,"자금수지예상표";#N/A,#N/A,FALSE,"재무비율분석"}</definedName>
    <definedName name="wrn.보고서." hidden="1">{#N/A,#N/A,FALSE,"Sheet1";#N/A,#N/A,FALSE,"기평9607"}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평촌성심PROJECT." hidden="1">{#N/A,#N/A,FALSE,"보고서"}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PRINT." hidden="1">{"DOWNLOAD",#N/A,FALSE,"GLDownload";"UPLOAD",#N/A,FALSE,"GLUpload"}</definedName>
    <definedName name="wrn1.Statements." hidden="1">{#N/A,#N/A,FALSE,"CostOfService";#N/A,#N/A,FALSE,"BalanceSheet";#N/A,#N/A,FALSE,"IncomeStmt";#N/A,#N/A,FALSE,"CashFlow";#N/A,#N/A,FALSE,"RateBase"}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a.prod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fy97" hidden="1">{#N/A,#N/A,FALSE,"FY97";#N/A,#N/A,FALSE,"FY98";#N/A,#N/A,FALSE,"FY99";#N/A,#N/A,FALSE,"FY00";#N/A,#N/A,FALSE,"FY01"}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R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T">#REF!</definedName>
    <definedName name="wrwer" hidden="1">{#N/A,#N/A,FALSE,"Umsatz 99";#N/A,#N/A,FALSE,"ER 99 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sd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sgasghaeghagh" hidden="1">{"Annual",#N/A,FALSE,"Sales &amp; Market";"Quarterly",#N/A,FALSE,"Sales &amp; Market"}</definedName>
    <definedName name="wsgz" hidden="1">{#N/A,#N/A,FALSE,"COVER1.XLS ";#N/A,#N/A,FALSE,"RACT1.XLS";#N/A,#N/A,FALSE,"RACT2.XLS";#N/A,#N/A,FALSE,"ECCMP";#N/A,#N/A,FALSE,"WELDER.XLS"}</definedName>
    <definedName name="wshiv">#REF!</definedName>
    <definedName name="wsu" hidden="1">{"'debtors'!$A$1:$I$305","'debtors'!$A$1:$J$285"}</definedName>
    <definedName name="wt" hidden="1">{#N/A,#N/A,FALSE,"FY97";#N/A,#N/A,FALSE,"FY98";#N/A,#N/A,FALSE,"FY99";#N/A,#N/A,FALSE,"FY00";#N/A,#N/A,FALSE,"FY01"}</definedName>
    <definedName name="wv" hidden="1">{#N/A,#N/A,FALSE,"Pharm";#N/A,#N/A,FALSE,"WWCM"}</definedName>
    <definedName name="wv.FileType.">"AUDIT_WKPR"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." hidden="1">{TRUE,TRUE,-1.25,-15.5,484.5,255,FALSE,FALSE,TRUE,FALSE,0,2,16,1,6,13,5,4,TRUE,TRUE,3,TRUE,1,TRUE,75,"Swvu.A.","ACwvu.A.",#N/A,FALSE,FALSE,0.2,0.22,1,0.641,2,"&amp;L&amp;""Arial,Bold""&amp;11Essar Projects LimitedEOL Refinery Project&amp;C&amp;""Arial,Bold""&amp;14TOTAL REFINERY PROJECTREFINERY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1" hidden="1">{TRUE,FALSE,-1.25,-15.5,484.5,293.25,FALSE,TRUE,TRUE,TRUE,0,1,3,329,#N/A,1,21.8823529411765,2,TRUE,FALSE,3,TRUE,1,TRUE,100,"Swvu.a.","ACwvu.a.",#N/A,FALSE,FALSE,0.1,2.66,1.35,0,2,"","",TRUE,FALSE,FALSE,TRUE,1,87,#N/A,#N/A,"=R354C1:R476C10",FALSE,FALSE,FALSE,FALSE,FALSE,FALSE,5,300,300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ost._.Allocation." hidden="1">{TRUE,TRUE,-1.25,-15.5,604.5,343.5,FALSE,TRUE,TRUE,TRUE,0,7,#N/A,1,#N/A,11.551724137931,30.5384615384615,1,FALSE,FALSE,3,TRUE,1,FALSE,75,"Swvu.Cost._.Allocation.","ACwvu.Cost._.Allocation.",#N/A,FALSE,FALSE,0.748031496062992,0.748031496062992,0.984251968503937,0.984251968503937,2,"","",TRUE,FALSE,FALSE,FALSE,1,#N/A,1,1,"=R1C1:R16C11",FALSE,#N/A,#N/A,FALSE,FALSE,FALSE,9,65532,65532,FALSE,FALSE,TRUE,TRUE,TRUE}</definedName>
    <definedName name="wvu.Full._.Cash._.Flow." hidden="1">{TRUE,TRUE,-1.25,-15.5,604.5,343.5,FALSE,TRUE,TRUE,TRUE,0,76,#N/A,23,#N/A,13.3448275862069,32.4166666666667,1,FALSE,FALSE,3,TRUE,1,FALSE,75,"Swvu.Full._.Cash._.Flow.","ACwvu.Full._.Cash._.Flow.",#N/A,FALSE,FALSE,0.748031496062992,0.748031496062992,1.10236220472441,0.984251968503937,2,"&amp;C&amp;""Arial,Bold""&amp;12KENSINGTON BANKS&amp;11CASH FLOW for EXPENSES (BUDGET)&amp;12&amp;10SUMMARYas at JULY 1994","",FALSE,FALSE,FALSE,FALSE,1,75,#N/A,#N/A,"=R8C5:R38C82","=C1:C4,R4:R7",#N/A,#N/A,FALSE,FALSE,TRUE,9,65532,65532,FALSE,FALSE,TRUE,TRUE,TRUE}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arketing." hidden="1">{TRUE,TRUE,-1.25,-15.5,604.5,341.25,FALSE,TRUE,TRUE,TRUE,0,1,73,1,7,2,6,4,TRUE,TRUE,3,TRUE,1,TRUE,75,"Swvu.Marketing.","ACwvu.Marketing.",#N/A,FALSE,FALSE,0.748031496062992,0.748031496062992,1.10236220472441,0.984251968503937,2,"&amp;C&amp;""Arial,Bold""&amp;12KENSINGTON BANKS&amp;11CASH FLOW for EXPENSES (FORECAST)&amp;12&amp;10SUMMARYas at NOVEMBER 1995","",FALSE,FALSE,FALSE,FALSE,1,75,#N/A,#N/A,"=R8C1:R19C82","=C1:C4,R4:R7",#N/A,#N/A,FALSE,FALSE,TRUE,9,65532,300,FALSE,FALSE,TRUE,TRUE,TRUE}</definedName>
    <definedName name="wvu.Marketing._.95.96." hidden="1">{TRUE,TRUE,-1.25,-15.5,604.5,341.25,FALSE,TRUE,TRUE,TRUE,0,1,20,1,7,2,6,4,TRUE,TRUE,3,TRUE,1,TRUE,75,"Swvu.Marketing._.95.96.","ACwvu.Marketing._.95.96.",#N/A,FALSE,FALSE,0.748031496062992,0.748031496062992,1.10236220472441,0.984251968503937,2,"&amp;C&amp;""Arial,Bold""&amp;12KENSINGTON BANKS&amp;11CASH FLOW for EXPENSES (BUDGET)&amp;12&amp;10SUMMARYas at NOVEMBER 1995","",FALSE,FALSE,FALSE,FALSE,1,75,#N/A,#N/A,"=R8C17:R19C28","=C1:C4,R4:R7",#N/A,#N/A,FALSE,FALSE,TRUE,9,65532,300,FALSE,FALSE,TRUE,TRUE,TRUE}</definedName>
    <definedName name="wvu.nnn." hidden="1">{TRUE,TRUE,-1.25,-15.5,484.5,300,FALSE,TRUE,TRUE,TRUE,0,2,#N/A,1,#N/A,4,18.7058823529412,1,FALSE,FALSE,3,TRUE,1,FALSE,100,"Swvu.nnn.","ACwvu.nnn.",1,FALSE,FALSE,0.5,0.5,1,1,1,"&amp;F","Page &amp;P",FALSE,FALSE,FALSE,TRUE,1,100,#N/A,#N/A,FALSE,FALSE,#N/A,#N/A,FALSE,FALSE}</definedName>
    <definedName name="wvu.otr.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Profit._.and._.Loss." hidden="1">{TRUE,TRUE,-1.25,-15.5,604.5,343.5,FALSE,TRUE,TRUE,TRUE,0,1,#N/A,1,#N/A,12.3392857142857,30.7692307692308,1,FALSE,FALSE,3,TRUE,1,FALSE,75,"Swvu.Profit._.and._.Loss.","ACwvu.Profit._.and._.Loss.",#N/A,FALSE,FALSE,0.748031496062992,0.748031496062992,1.10236220472441,0.984251968503937,2,"&amp;C&amp;""Arial,Bold""&amp;12KENSINGTON BANKS&amp;11PROFIT &amp; LOSS for EXPENSES (BUDGET)&amp;12&amp;10SUMMARYas at JULY 1994","",FALSE,FALSE,FALSE,FALSE,1,75,#N/A,#N/A,"=R8C5:R38C82","=C1:C4,R4:R7",#N/A,#N/A,FALSE,FALSE,TRUE,9,65532,65532,FALSE,FALSE,TRUE,TRUE,TRUE}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._.Sheet." hidden="1">{TRUE,TRUE,-1.25,-15.5,604.5,343.5,FALSE,TRUE,TRUE,TRUE,0,1,#N/A,1,#N/A,14.8571428571429,30.7692307692308,1,FALSE,FALSE,3,TRUE,1,FALSE,75,"Swvu.Summary._.Sheet.","ACwvu.Summary._.Sheet.",#N/A,FALSE,FALSE,0.748031496062992,0.748031496062992,0.984251968503937,0.984251968503937,2,"&amp;C&amp;""Arial,Bold""&amp;12KENSINGTON BANKS&amp;11PROFIT &amp; LOSS&amp;10SUMMARY (Actual vs Budget)","",TRUE,FALSE,FALSE,FALSE,1,#N/A,1,1,"=R3C1:R47C21",FALSE,#N/A,#N/A,FALSE,FALSE,FALSE,9,65532,65532,FALSE,FALSE,TRUE,TRUE,TRUE}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>#REF!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erwrt">#N/A</definedName>
    <definedName name="wwf">#REF!</definedName>
    <definedName name="wwt" hidden="1">{"YD LAPO2",#N/A,FALSE,"YTD"}</definedName>
    <definedName name="www">#REF!</definedName>
    <definedName name="wwwe" hidden="1">{"page 1",#N/A,FALSE,"A";"page 2",#N/A,FALSE,"A";"page 3",#N/A,FALSE,"A";"page 4",#N/A,FALSE,"A";"page 5",#N/A,FALSE,"A"}</definedName>
    <definedName name="wwww">#REF!</definedName>
    <definedName name="wwwweeeeee">#N/A</definedName>
    <definedName name="wwwww">+#REF!+#REF!+#REF!+#REF!+#REF!+#REF!+#REF!+#REF!+#REF!+#REF!-#REF!-#REF!-#REF!-#REF!-#REF!-#REF!-#REF!-#REF!-#REF!-#REF!-#REF!-#REF!-#REF!-#REF!-#REF!-#REF!-#REF!-#REF!</definedName>
    <definedName name="WWWWWW">#REF!</definedName>
    <definedName name="wwwwwww" hidden="1">{#N/A,#N/A,FALSE,"Profit Status";#N/A,#N/A,FALSE,"Invest";#N/A,#N/A,FALSE,"Revenue";#N/A,#N/A,FALSE,"Variable Cost";#N/A,#N/A,FALSE,"Options &amp; Series"}</definedName>
    <definedName name="wwwwwwwww" hidden="1">{#N/A,#N/A,FALSE,"Assumptions";#N/A,#N/A,FALSE,"Volumes";#N/A,#N/A,FALSE,"Pricing";#N/A,#N/A,FALSE,"Variable Cost";#N/A,#N/A,FALSE,"Investment";#N/A,#N/A,FALSE,"Profitability";#N/A,#N/A,FALSE,"Business Comparison"}</definedName>
    <definedName name="wwwwwwwwwww" hidden="1">{"YD PACKAGE",#N/A,FALSE,"YTD"}</definedName>
    <definedName name="wwwwwwwwwwwwww" hidden="1">{"detail",#N/A,FALSE,"mfg";"summary",#N/A,FALSE,"mfg"}</definedName>
    <definedName name="wx" hidden="1">{#N/A,#N/A,FALSE,"Pharm";#N/A,#N/A,FALSE,"WWCM"}</definedName>
    <definedName name="WXC" hidden="1">{#N/A,#N/A,FALSE,"Profit Status";#N/A,#N/A,FALSE,"Invest";#N/A,#N/A,FALSE,"Revenue";#N/A,#N/A,FALSE,"Variable Cost";#N/A,#N/A,FALSE,"Options &amp; Series"}</definedName>
    <definedName name="W행">#REF!</definedName>
    <definedName name="W행1">#N/A</definedName>
    <definedName name="X">#REF!</definedName>
    <definedName name="X?">#REF!</definedName>
    <definedName name="x_dataentry">#REF!</definedName>
    <definedName name="X_TV">#REF!</definedName>
    <definedName name="X_ValMethod">#REF!</definedName>
    <definedName name="X83_NMISA">#REF!</definedName>
    <definedName name="X9802????_??_List">#REF!</definedName>
    <definedName name="X9802장판원본_원본_List">#REF!</definedName>
    <definedName name="xa" hidden="1">{#N/A,#N/A,FALSE,"Aging Summary";#N/A,#N/A,FALSE,"Ratio Analysis";#N/A,#N/A,FALSE,"Test 120 Day Accts";#N/A,#N/A,FALSE,"Tickmarks"}</definedName>
    <definedName name="xb" hidden="1">{"BA detail",#N/A,FALSE,"Q3YTD "}</definedName>
    <definedName name="XBFXZB" hidden="1">{#N/A,#N/A,FALSE,"FINAL"}</definedName>
    <definedName name="xc" hidden="1">{"A COM Detail YTD",#N/A,FALSE,"DATA";"B Exp Detail YTD",#N/A,FALSE,"DATA"}</definedName>
    <definedName name="XÇà">#REF!</definedName>
    <definedName name="xcft" hidden="1">{#N/A,#N/A,FALSE,"PGW"}</definedName>
    <definedName name="xcft_2" hidden="1">{#N/A,#N/A,FALSE,"PGW"}</definedName>
    <definedName name="xcft_3" hidden="1">{#N/A,#N/A,FALSE,"PGW"}</definedName>
    <definedName name="xcft_4" hidden="1">{#N/A,#N/A,FALSE,"PGW"}</definedName>
    <definedName name="xcv" hidden="1">{#N/A,#N/A,FALSE,"Pharm";#N/A,#N/A,FALSE,"WWCM"}</definedName>
    <definedName name="XCVBN" hidden="1">{#N/A,#N/A,FALSE,"Tabl. G1";#N/A,#N/A,FALSE,"Tabl. G2"}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g" hidden="1">{#N/A,#N/A,FALSE,"SUMMARY";#N/A,#N/A,FALSE,"SUMMARY"}</definedName>
    <definedName name="xcvg_2" hidden="1">{#N/A,#N/A,FALSE,"SUMMARY";#N/A,#N/A,FALSE,"SUMMARY"}</definedName>
    <definedName name="xcvg_3" hidden="1">{#N/A,#N/A,FALSE,"SUMMARY";#N/A,#N/A,FALSE,"SUMMARY"}</definedName>
    <definedName name="xcvg_4" hidden="1">{#N/A,#N/A,FALSE,"SUMMARY";#N/A,#N/A,FALSE,"SUMMARY"}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d" hidden="1">{#N/A,#N/A,FALSE,"PMTABB";#N/A,#N/A,FALSE,"PMTABB"}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2" hidden="1">{#N/A,#N/A,FALSE,"PMTABB";#N/A,#N/A,FALSE,"PMTABB"}</definedName>
    <definedName name="xd_3" hidden="1">{#N/A,#N/A,FALSE,"PMTABB";#N/A,#N/A,FALSE,"PMTABB"}</definedName>
    <definedName name="xd_4" hidden="1">{#N/A,#N/A,FALSE,"PMTABB";#N/A,#N/A,FALSE,"PMTABB"}</definedName>
    <definedName name="XD_99">0</definedName>
    <definedName name="xd0.6">#REF!</definedName>
    <definedName name="xd1.3">#REF!</definedName>
    <definedName name="xd1.5">#REF!</definedName>
    <definedName name="xdft" hidden="1">{#N/A,#N/A,FALSE,"ISBL"}</definedName>
    <definedName name="xdft_2" hidden="1">{#N/A,#N/A,FALSE,"ISBL"}</definedName>
    <definedName name="xdft_3" hidden="1">{#N/A,#N/A,FALSE,"ISBL"}</definedName>
    <definedName name="xdft_4" hidden="1">{#N/A,#N/A,FALSE,"ISBL"}</definedName>
    <definedName name="xdrt" hidden="1">{#N/A,#N/A,FALSE,"Aging Summary";#N/A,#N/A,FALSE,"Ratio Analysis";#N/A,#N/A,FALSE,"Test 120 Day Accts";#N/A,#N/A,FALSE,"Tickmarks"}</definedName>
    <definedName name="xdrt_2" hidden="1">{#N/A,#N/A,FALSE,"Aging Summary";#N/A,#N/A,FALSE,"Ratio Analysis";#N/A,#N/A,FALSE,"Test 120 Day Accts";#N/A,#N/A,FALSE,"Tickmarks"}</definedName>
    <definedName name="xdrt_3" hidden="1">{#N/A,#N/A,FALSE,"Aging Summary";#N/A,#N/A,FALSE,"Ratio Analysis";#N/A,#N/A,FALSE,"Test 120 Day Accts";#N/A,#N/A,FALSE,"Tickmarks"}</definedName>
    <definedName name="xdrt_4" hidden="1">{#N/A,#N/A,FALSE,"Aging Summary";#N/A,#N/A,FALSE,"Ratio Analysis";#N/A,#N/A,FALSE,"Test 120 Day Accts";#N/A,#N/A,FALSE,"Tickmarks"}</definedName>
    <definedName name="xebdit">#REF!</definedName>
    <definedName name="xebit">#REF!</definedName>
    <definedName name="XEP">#REF!</definedName>
    <definedName name="XEW">#REF!</definedName>
    <definedName name="XEY">#REF!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yjkxj" hidden="1">{"'BGT2001'!$A$1:$AE$112"}</definedName>
    <definedName name="XG????">#REF!</definedName>
    <definedName name="XG¾×¼C">#REF!</definedName>
    <definedName name="XG¾×¼Ç">#REF!</definedName>
    <definedName name="Xge_Rate_March">#REF!</definedName>
    <definedName name="Xge_Rate_March_16">#REF!</definedName>
    <definedName name="Xge_Rate_March_17">#REF!</definedName>
    <definedName name="Xge_Rate_March_4">#REF!</definedName>
    <definedName name="XG액션">#REF!</definedName>
    <definedName name="XG정도문제">#REF!</definedName>
    <definedName name="xh">#REF!</definedName>
    <definedName name="xjl.i" hidden="1">{"'BGT2001'!$A$1:$AE$112"}</definedName>
    <definedName name="xk0.6">#REF!</definedName>
    <definedName name="xk1.3">#REF!</definedName>
    <definedName name="xk1.5">#REF!</definedName>
    <definedName name="xl">#REF!</definedName>
    <definedName name="XL3GridPlaceHolder9DD756C5562C4A2">#REF!</definedName>
    <definedName name="XL3GridPlaceHolderClear9DD756C5562C4A2">#REF!</definedName>
    <definedName name="XL3GridPlaceHolderClearData9DD756C5562C4A2">#REF!</definedName>
    <definedName name="xlc">#REF!</definedName>
    <definedName name="xld1.4">#REF!</definedName>
    <definedName name="xlk">#REF!</definedName>
    <definedName name="xlk1.4">#REF!</definedName>
    <definedName name="XLOPTvec">"12 14 1 125 1 0 1 1 1 1 1 1 0 0 1 0 0 0 0 0"</definedName>
    <definedName name="xlqCom">"OK3"</definedName>
    <definedName name="XLSVersion">#REF!</definedName>
    <definedName name="xlx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m">{"'Changes Log'!$A$1:$F$25"}</definedName>
    <definedName name="xmp40">#REF!</definedName>
    <definedName name="xn">#REF!</definedName>
    <definedName name="xoanhapk">#REF!,#REF!</definedName>
    <definedName name="xoanhapl">#REF!,#REF!</definedName>
    <definedName name="xoaxuatk">#REF!</definedName>
    <definedName name="xoaxuatl">#REF!</definedName>
    <definedName name="XRD_MC_OP">#REF!</definedName>
    <definedName name="XRD_MC_VOP">#REF!</definedName>
    <definedName name="XRD_MC_YE_EST">#REF!</definedName>
    <definedName name="XRD_MC_YTD_ACTUAL">#REF!</definedName>
    <definedName name="XRD_MP_COMPLETE">#REF!</definedName>
    <definedName name="XRD_MP_OP">#REF!</definedName>
    <definedName name="XRD_MP_VOP">#REF!</definedName>
    <definedName name="XRD_MP_YE_EST">#REF!</definedName>
    <definedName name="XRD_MP_YTD_ACTUAL">#REF!</definedName>
    <definedName name="XRD_MPI_OP">#REF!</definedName>
    <definedName name="XRD_MPI_VOP">#REF!</definedName>
    <definedName name="XRD_MPI_YE_EST">#REF!</definedName>
    <definedName name="XRD_MPI_YTD_ACTUAL">#REF!</definedName>
    <definedName name="XRD_VCP_OP">#REF!</definedName>
    <definedName name="XRD_VCP_VOP">#REF!</definedName>
    <definedName name="XRD_VCP_YE_EST">#REF!</definedName>
    <definedName name="XRD_VCP_YTD_ACTUAL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7" hidden="1">#REF!</definedName>
    <definedName name="XREF_COLUMN_8" hidden="1">#REF!</definedName>
    <definedName name="XREF_COLUMN_9" hidden="1">#REF!</definedName>
    <definedName name="xref1" hidden="1">7</definedName>
    <definedName name="XRefActiveRow" hidden="1">#REF!</definedName>
    <definedName name="XRefColumnsCount" hidden="1">12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8" hidden="1">#REF!</definedName>
    <definedName name="XRefCopy118Row" hidden="1">#REF!</definedName>
    <definedName name="XRefCopy119" hidden="1">#REF!</definedName>
    <definedName name="XRefCopy119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" hidden="1">#REF!</definedName>
    <definedName name="XRefCopy129Row" hidden="1">#REF!</definedName>
    <definedName name="XRefCopy12Row" hidden="1">#REF!</definedName>
    <definedName name="XRefCopy13" hidden="1">#REF!</definedName>
    <definedName name="XRefCopy130" hidden="1">#REF!</definedName>
    <definedName name="XRefCopy130Row" hidden="1">#REF!</definedName>
    <definedName name="XRefCopy131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#REF!</definedName>
    <definedName name="XRefCopy14" hidden="1">#REF!</definedName>
    <definedName name="XRefCopy140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6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#REF!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7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Row" hidden="1">#REF!</definedName>
    <definedName name="XRefPaste112Row" hidden="1">#REF!</definedName>
    <definedName name="XRefPaste113Row" hidden="1">#REF!</definedName>
    <definedName name="XRefPaste114Row" hidden="1">#REF!</definedName>
    <definedName name="XRefPaste11Row" hidden="1">#REF!</definedName>
    <definedName name="XRefPaste12" hidden="1">#REF!</definedName>
    <definedName name="XRefPaste120Row" hidden="1">#REF!</definedName>
    <definedName name="XRefPaste121Row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142</definedName>
    <definedName name="xRng_01ae3b800b084ec3870ac9b69f314640">#REF!</definedName>
    <definedName name="xRng_0672d81ddab24943990fad8fd2cc5333">#REF!</definedName>
    <definedName name="xRng_09b642ed37264e8ca00bb63b49651e50">#REF!</definedName>
    <definedName name="xRng_1ae71ec0f5d64bc1a13f1a32737f6a2c">#REF!</definedName>
    <definedName name="xRng_2bd8a2533ed64d40a791c00d4017e8e8">#REF!</definedName>
    <definedName name="xRng_392511931ca545ff99a2604d56da46c2">#REF!</definedName>
    <definedName name="xRng_506d6f272faa474191fa51346c456efa">#REF!</definedName>
    <definedName name="xRng_54e937a7ddc941ec82120abb9721752f">#REF!</definedName>
    <definedName name="xRng_5a2c476f098541e99ba1ce4deb179e97">#REF!</definedName>
    <definedName name="xRng_6d666d7f536c401eac582d04e74078ec">#REF!</definedName>
    <definedName name="xRng_7c1467a5a1ba4c0f953a0b95b531f753">#REF!</definedName>
    <definedName name="xRng_7d720fd9f935438098e3a3e9dc3ee67b">#REF!</definedName>
    <definedName name="xRng_835dc703db8f42d3bb05d62081ba90e7">#REF!</definedName>
    <definedName name="xRng_84b33905024f4a668ef3f8df7565d0e0">#REF!</definedName>
    <definedName name="xRng_8eaefe7555f945ebbed0ae88d2ab23f2">#REF!</definedName>
    <definedName name="xRng_9b413b0c55ee4465b4a8f3b5f8f0e9ce">#REF!</definedName>
    <definedName name="xRng_9cfa75362bca473c810f470495c1ebd4">#REF!</definedName>
    <definedName name="xRng_dd43528a59bb4f418575f3a1addfe08f">#REF!</definedName>
    <definedName name="xRng_f304b52007314790b65fb4116b7bfdca">#REF!</definedName>
    <definedName name="xRng_f4ed28b0ab86436ebd6d0b24af1db481">#REF!</definedName>
    <definedName name="xRng_fe2e0f2b405f4d6d939507986a1ff523">#REF!</definedName>
    <definedName name="xrt" hidden="1">{#N/A,#N/A,FALSE,"OSBL"}</definedName>
    <definedName name="xrt_2" hidden="1">{#N/A,#N/A,FALSE,"OSBL"}</definedName>
    <definedName name="xrt_3" hidden="1">{#N/A,#N/A,FALSE,"OSBL"}</definedName>
    <definedName name="xrt_4" hidden="1">{#N/A,#N/A,FALSE,"OSBL"}</definedName>
    <definedName name="xs" hidden="1">{#N/A,"PURCHM",FALSE,"Business Analysis";#N/A,"SPADD",FALSE,"Business Analysis"}</definedName>
    <definedName name="XS4H_18658_BA">#REF!</definedName>
    <definedName name="XS4H_18C299_AA">#REF!</definedName>
    <definedName name="XS4H_18C299_BA">#REF!</definedName>
    <definedName name="XS4H_18C299_CA">#REF!</definedName>
    <definedName name="XS4H_18C299_DA">#REF!</definedName>
    <definedName name="XS4H_19618_AA">#REF!</definedName>
    <definedName name="XS4H_19850_AA">#REF!</definedName>
    <definedName name="XS4H_19850_BA">#REF!</definedName>
    <definedName name="XS4H_19D578_AA">#REF!</definedName>
    <definedName name="XS4H_19D578_CA">#REF!</definedName>
    <definedName name="XS4H_19D578_DA">#REF!</definedName>
    <definedName name="XS4H_19D578_EA">#REF!</definedName>
    <definedName name="xsd" hidden="1">{"detail",#N/A,FALSE,"mfg";"summary",#N/A,FALSE,"mfg"}</definedName>
    <definedName name="xsm">{"'Changes Log'!$A$1:$F$25"}</definedName>
    <definedName name="xsxa" hidden="1">{"'Sheet1'!$A$4386:$N$4591"}</definedName>
    <definedName name="xt" hidden="1">{#N/A,#N/A,FALSE,"PGW"}</definedName>
    <definedName name="xt_2" hidden="1">{#N/A,#N/A,FALSE,"PGW"}</definedName>
    <definedName name="xt_3" hidden="1">{#N/A,#N/A,FALSE,"PGW"}</definedName>
    <definedName name="xt_4" hidden="1">{#N/A,#N/A,FALSE,"PGW"}</definedName>
    <definedName name="xv" hidden="1">{"Commentary",#N/A,FALSE,"May"}</definedName>
    <definedName name="XVH">#REF!</definedName>
    <definedName name="xvxgvxcgvxcv">{#N/A,#N/A,FALSE,"PMTABB";#N/A,#N/A,FALSE,"PMTABB"}</definedName>
    <definedName name="xx">#REF!</definedName>
    <definedName name="xx_2" hidden="1">{#N/A,#N/A,FALSE,"PGW"}</definedName>
    <definedName name="xx_3" hidden="1">{#N/A,#N/A,FALSE,"PGW"}</definedName>
    <definedName name="xx_4" hidden="1">{#N/A,#N/A,FALSE,"PGW"}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nn" hidden="1">{#N/A,#N/A,FALSE,"Balance Sheets";#N/A,#N/A,FALSE,"96 Conservative";#N/A,#N/A,FALSE,"96 Possible"}</definedName>
    <definedName name="XXX">#REF!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16">#REF!</definedName>
    <definedName name="xxx_17">#REF!</definedName>
    <definedName name="xxx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2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xx6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xxxCLabel1.1.Displacement">-1</definedName>
    <definedName name="xxxCLabel1.1.Label">"02	February"</definedName>
    <definedName name="xxxCLabel1.1.Prompt">1</definedName>
    <definedName name="xxxCLabel2.1.Displacement">0</definedName>
    <definedName name="xxxCLabel2.1.Label">"02	February"</definedName>
    <definedName name="xxxCLabel2.1.Prompt">1</definedName>
    <definedName name="xxxCLabel3.1.Displacement">0</definedName>
    <definedName name="xxxCLabel3.1.Label">"02	February"</definedName>
    <definedName name="xxxCLabel3.1.Prompt">1</definedName>
    <definedName name="xxxCLabel4.1.Displacement">0</definedName>
    <definedName name="xxxCLabel4.1.Label">"02	February"</definedName>
    <definedName name="xxxCLabel4.1.Prompt">1</definedName>
    <definedName name="xxxCLabel5.1.Displacement">0</definedName>
    <definedName name="xxxCLabel5.1.Label">"02	February"</definedName>
    <definedName name="xxxCLabel5.1.Prompt">1</definedName>
    <definedName name="xxxColHeader1bx">0</definedName>
    <definedName name="xxxColHeader1by">11</definedName>
    <definedName name="xxxColHeader1ex">0</definedName>
    <definedName name="xxxColHeader1ey">11</definedName>
    <definedName name="xxxColHeader2bx">0</definedName>
    <definedName name="xxxColHeader2by">123</definedName>
    <definedName name="xxxColHeader2ex">0</definedName>
    <definedName name="xxxColHeader2ey">123</definedName>
    <definedName name="xxxColHeader3bx">0</definedName>
    <definedName name="xxxColHeader3by">177</definedName>
    <definedName name="xxxColHeader3ex">0</definedName>
    <definedName name="xxxColHeader3ey">177</definedName>
    <definedName name="xxxColHeader4bx">0</definedName>
    <definedName name="xxxColHeader4by">200</definedName>
    <definedName name="xxxColHeader4ex">0</definedName>
    <definedName name="xxxColHeader4ey">200</definedName>
    <definedName name="xxxColHeader5bx">0</definedName>
    <definedName name="xxxColHeader5by">59</definedName>
    <definedName name="xxxColHeader5ex">0</definedName>
    <definedName name="xxxColHeader5ey">59</definedName>
    <definedName name="xxxColLabels1bx">1</definedName>
    <definedName name="xxxColLabels1by">11</definedName>
    <definedName name="xxxColLabels1ex">1</definedName>
    <definedName name="xxxColLabels1ey">11</definedName>
    <definedName name="xxxColLabels2bx">1</definedName>
    <definedName name="xxxColLabels2by">123</definedName>
    <definedName name="xxxColLabels2ex">1</definedName>
    <definedName name="xxxColLabels2ey">123</definedName>
    <definedName name="xxxColLabels3bx">1</definedName>
    <definedName name="xxxColLabels3by">177</definedName>
    <definedName name="xxxColLabels3ex">1</definedName>
    <definedName name="xxxColLabels3ey">177</definedName>
    <definedName name="xxxColLabels4bx">1</definedName>
    <definedName name="xxxColLabels4by">200</definedName>
    <definedName name="xxxColLabels4ex">1</definedName>
    <definedName name="xxxColLabels4ey">200</definedName>
    <definedName name="xxxColLabels5bx">1</definedName>
    <definedName name="xxxColLabels5by">59</definedName>
    <definedName name="xxxColLabels5ex">1</definedName>
    <definedName name="xxxColLabels5ey">59</definedName>
    <definedName name="xxxCommon1DimValue1.1">"'0001"</definedName>
    <definedName name="xxxCommon1DimValue1.2">"Profit &amp; Loss"</definedName>
    <definedName name="xxxCommon1DimValue2.1">"A"</definedName>
    <definedName name="xxxCommon1DimValue2.2">"ACTUAL"</definedName>
    <definedName name="xxxCommon1DimValue3.1">"'18010"</definedName>
    <definedName name="xxxCommon1DimValue3.2">"ROULUNDS CODAN INDIA LTD."</definedName>
    <definedName name="xxxCommon1DimValue4.1">"Year-to-Date"</definedName>
    <definedName name="xxxCommon1DimValue4.2">"Year to date P&amp;L Accumulation"</definedName>
    <definedName name="xxxCommon1DimValue5.1">"'2003"</definedName>
    <definedName name="xxxCommon1DimValue5.2">2003</definedName>
    <definedName name="xxxCommon1DimValue6.1">"'0000"</definedName>
    <definedName name="xxxCommon1DimValue6.2">"Total"</definedName>
    <definedName name="xxxCommon1DimValue7.1">"Local"</definedName>
    <definedName name="xxxCommon1DimValue7.2">"Local Currency"</definedName>
    <definedName name="xxxCommon1DimValue8.1">"Net-of-Adjustments"</definedName>
    <definedName name="xxxCommon1DimValue8.2">"Net-of-Adjustments Datatype"</definedName>
    <definedName name="xxxCommon2DimValue1.1">"'0006"</definedName>
    <definedName name="xxxCommon2DimValue1.2">"Cashflow Statement"</definedName>
    <definedName name="xxxCommon2DimValue2.1">"A"</definedName>
    <definedName name="xxxCommon2DimValue2.2">"ACTUAL"</definedName>
    <definedName name="xxxCommon2DimValue3.1">"'18010"</definedName>
    <definedName name="xxxCommon2DimValue3.2">"ROULUNDS CODAN INDIA LTD."</definedName>
    <definedName name="xxxCommon2DimValue4.1">"Year-to-Date"</definedName>
    <definedName name="xxxCommon2DimValue4.2">"Year to date P&amp;L Accumulation"</definedName>
    <definedName name="xxxCommon2DimValue5.1">"'2003"</definedName>
    <definedName name="xxxCommon2DimValue5.2">2003</definedName>
    <definedName name="xxxCommon2DimValue6.1">"'0000"</definedName>
    <definedName name="xxxCommon2DimValue6.2">"Total"</definedName>
    <definedName name="xxxCommon2DimValue7.1">"Local"</definedName>
    <definedName name="xxxCommon2DimValue7.2">"Local Currency"</definedName>
    <definedName name="xxxCommon2DimValue8.1">"Net-of-Adjustments"</definedName>
    <definedName name="xxxCommon2DimValue8.2">"Net-of-Adjustments Datatype"</definedName>
    <definedName name="xxxCommon3DimValue1.1">"'0030"</definedName>
    <definedName name="xxxCommon3DimValue1.2">"Orders received"</definedName>
    <definedName name="xxxCommon3DimValue2.1">"A"</definedName>
    <definedName name="xxxCommon3DimValue2.2">"ACTUAL"</definedName>
    <definedName name="xxxCommon3DimValue3.1">"'18010"</definedName>
    <definedName name="xxxCommon3DimValue3.2">"ROULUNDS CODAN INDIA LTD."</definedName>
    <definedName name="xxxCommon3DimValue4.1">"Year-to-Date"</definedName>
    <definedName name="xxxCommon3DimValue4.2">"Year to date P&amp;L Accumulation"</definedName>
    <definedName name="xxxCommon3DimValue5.1">"'2003"</definedName>
    <definedName name="xxxCommon3DimValue5.2">2003</definedName>
    <definedName name="xxxCommon3DimValue6.1">"'0000"</definedName>
    <definedName name="xxxCommon3DimValue6.2">"Total"</definedName>
    <definedName name="xxxCommon3DimValue7.1">"Local"</definedName>
    <definedName name="xxxCommon3DimValue7.2">"Local Currency"</definedName>
    <definedName name="xxxCommon3DimValue8.1">"Net-of-Adjustments"</definedName>
    <definedName name="xxxCommon3DimValue8.2">"Net-of-Adjustments Datatype"</definedName>
    <definedName name="xxxCommon4DimValue1.1">"'0032"</definedName>
    <definedName name="xxxCommon4DimValue1.2">"Orders period end"</definedName>
    <definedName name="xxxCommon4DimValue2.1">"A"</definedName>
    <definedName name="xxxCommon4DimValue2.2">"ACTUAL"</definedName>
    <definedName name="xxxCommon4DimValue3.1">"'18010"</definedName>
    <definedName name="xxxCommon4DimValue3.2">"ROULUNDS CODAN INDIA LTD."</definedName>
    <definedName name="xxxCommon4DimValue4.1">"Year-to-Date"</definedName>
    <definedName name="xxxCommon4DimValue4.2">"Year to date P&amp;L Accumulation"</definedName>
    <definedName name="xxxCommon4DimValue5.1">"'2003"</definedName>
    <definedName name="xxxCommon4DimValue5.2">2003</definedName>
    <definedName name="xxxCommon4DimValue6.1">"'0000"</definedName>
    <definedName name="xxxCommon4DimValue6.2">"Total"</definedName>
    <definedName name="xxxCommon4DimValue7.1">"Local"</definedName>
    <definedName name="xxxCommon4DimValue7.2">"Local Currency"</definedName>
    <definedName name="xxxCommon4DimValue8.1">"Net-of-Adjustments"</definedName>
    <definedName name="xxxCommon4DimValue8.2">"Net-of-Adjustments Datatype"</definedName>
    <definedName name="xxxCommon5DimValue1.1">"'0005"</definedName>
    <definedName name="xxxCommon5DimValue1.2">"Balance Sheet"</definedName>
    <definedName name="xxxCommon5DimValue2.1">"A"</definedName>
    <definedName name="xxxCommon5DimValue2.2">"ACTUAL"</definedName>
    <definedName name="xxxCommon5DimValue3.1">"'18010"</definedName>
    <definedName name="xxxCommon5DimValue3.2">"ROULUNDS CODAN INDIA LTD."</definedName>
    <definedName name="xxxCommon5DimValue4.1">"Year-to-Date"</definedName>
    <definedName name="xxxCommon5DimValue4.2">"Year to date P&amp;L Accumulation"</definedName>
    <definedName name="xxxCommon5DimValue5.1">"'2003"</definedName>
    <definedName name="xxxCommon5DimValue5.2">2003</definedName>
    <definedName name="xxxCommon5DimValue6.1">"'0000"</definedName>
    <definedName name="xxxCommon5DimValue6.2">"Total"</definedName>
    <definedName name="xxxCommon5DimValue7.1">"Local"</definedName>
    <definedName name="xxxCommon5DimValue7.2">"Local Currency"</definedName>
    <definedName name="xxxCommon5DimValue8.1">"Net-of-Adjustments"</definedName>
    <definedName name="xxxCommon5DimValue8.2">"Net-of-Adjustments Datatype"</definedName>
    <definedName name="xxxCommonArea1bx">0</definedName>
    <definedName name="xxxCommonArea1by">2</definedName>
    <definedName name="xxxCommonArea1ex">2</definedName>
    <definedName name="xxxCommonArea1ey">9</definedName>
    <definedName name="xxxCommonArea2bx">0</definedName>
    <definedName name="xxxCommonArea2by">114</definedName>
    <definedName name="xxxCommonArea2ex">2</definedName>
    <definedName name="xxxCommonArea2ey">121</definedName>
    <definedName name="xxxCommonArea3bx">0</definedName>
    <definedName name="xxxCommonArea3by">168</definedName>
    <definedName name="xxxCommonArea3ex">2</definedName>
    <definedName name="xxxCommonArea3ey">175</definedName>
    <definedName name="xxxCommonArea4bx">0</definedName>
    <definedName name="xxxCommonArea4by">191</definedName>
    <definedName name="xxxCommonArea4ex">2</definedName>
    <definedName name="xxxCommonArea4ey">198</definedName>
    <definedName name="xxxCommonArea5bx">0</definedName>
    <definedName name="xxxCommonArea5by">50</definedName>
    <definedName name="xxxCommonArea5ex">2</definedName>
    <definedName name="xxxCommonArea5ey">57</definedName>
    <definedName name="xxxDataBlock1bx">1</definedName>
    <definedName name="xxxDataBlock1by">15</definedName>
    <definedName name="xxxDataBlock1ex">1</definedName>
    <definedName name="xxxDataBlock1ey">46</definedName>
    <definedName name="xxxDataBlock2bx">1</definedName>
    <definedName name="xxxDataBlock2by">127</definedName>
    <definedName name="xxxDataBlock2ex">1</definedName>
    <definedName name="xxxDataBlock2ey">163</definedName>
    <definedName name="xxxDataBlock3bx">1</definedName>
    <definedName name="xxxDataBlock3by">181</definedName>
    <definedName name="xxxDataBlock3ex">1</definedName>
    <definedName name="xxxDataBlock3ey">186</definedName>
    <definedName name="xxxDataBlock4bx">1</definedName>
    <definedName name="xxxDataBlock4by">204</definedName>
    <definedName name="xxxDataBlock4ex">1</definedName>
    <definedName name="xxxDataBlock4ey">211</definedName>
    <definedName name="xxxDataBlock5bx">1</definedName>
    <definedName name="xxxDataBlock5by">63</definedName>
    <definedName name="xxxDataBlock5ex">1</definedName>
    <definedName name="xxxDataBlock5ey">109</definedName>
    <definedName name="xxxDownfootCols1Count">0</definedName>
    <definedName name="xxxDownfootCols2Count">0</definedName>
    <definedName name="xxxDownfootCols3Count">0</definedName>
    <definedName name="xxxDownfootCols4Count">0</definedName>
    <definedName name="xxxDownfootCols5Count">0</definedName>
    <definedName name="xxxDownfootRows1Count">8</definedName>
    <definedName name="xxxDownfootRows1Number0">17</definedName>
    <definedName name="xxxDownfootRows1Number1">22</definedName>
    <definedName name="xxxDownfootRows1Number2">25</definedName>
    <definedName name="xxxDownfootRows1Number3">36</definedName>
    <definedName name="xxxDownfootRows1Number4">37</definedName>
    <definedName name="xxxDownfootRows1Number5">42</definedName>
    <definedName name="xxxDownfootRows1Number6">44</definedName>
    <definedName name="xxxDownfootRows1Number7">46</definedName>
    <definedName name="xxxDownfootRows2Count">7</definedName>
    <definedName name="xxxDownfootRows2Number0">129</definedName>
    <definedName name="xxxDownfootRows2Number1">131</definedName>
    <definedName name="xxxDownfootRows2Number2">134</definedName>
    <definedName name="xxxDownfootRows2Number3">142</definedName>
    <definedName name="xxxDownfootRows2Number4">153</definedName>
    <definedName name="xxxDownfootRows2Number5">154</definedName>
    <definedName name="xxxDownfootRows2Number6">163</definedName>
    <definedName name="xxxDownfootRows3Count">2</definedName>
    <definedName name="xxxDownfootRows3Number0">183</definedName>
    <definedName name="xxxDownfootRows3Number1">186</definedName>
    <definedName name="xxxDownfootRows4Count">2</definedName>
    <definedName name="xxxDownfootRows4Number0">207</definedName>
    <definedName name="xxxDownfootRows4Number1">211</definedName>
    <definedName name="xxxDownfootRows5Count">16</definedName>
    <definedName name="xxxDownfootRows5Number0">67</definedName>
    <definedName name="xxxDownfootRows5Number1">72</definedName>
    <definedName name="xxxDownfootRows5Number10">98</definedName>
    <definedName name="xxxDownfootRows5Number11">101</definedName>
    <definedName name="xxxDownfootRows5Number12">105</definedName>
    <definedName name="xxxDownfootRows5Number13">107</definedName>
    <definedName name="xxxDownfootRows5Number14">108</definedName>
    <definedName name="xxxDownfootRows5Number15">109</definedName>
    <definedName name="xxxDownfootRows5Number2">76</definedName>
    <definedName name="xxxDownfootRows5Number3">77</definedName>
    <definedName name="xxxDownfootRows5Number4">82</definedName>
    <definedName name="xxxDownfootRows5Number5">85</definedName>
    <definedName name="xxxDownfootRows5Number6">88</definedName>
    <definedName name="xxxDownfootRows5Number7">89</definedName>
    <definedName name="xxxDownfootRows5Number8">96</definedName>
    <definedName name="xxxDownfootRows5Number9">97</definedName>
    <definedName name="xxxEntireArea1bx">0</definedName>
    <definedName name="xxxEntireArea1by">2</definedName>
    <definedName name="xxxEntireArea1ex">1</definedName>
    <definedName name="xxxEntireArea1ey">46</definedName>
    <definedName name="xxxEntireArea2bx">0</definedName>
    <definedName name="xxxEntireArea2by">114</definedName>
    <definedName name="xxxEntireArea2ex">1</definedName>
    <definedName name="xxxEntireArea2ey">163</definedName>
    <definedName name="xxxEntireArea3bx">0</definedName>
    <definedName name="xxxEntireArea3by">168</definedName>
    <definedName name="xxxEntireArea3ex">1</definedName>
    <definedName name="xxxEntireArea3ey">186</definedName>
    <definedName name="xxxEntireArea4bx">0</definedName>
    <definedName name="xxxEntireArea4by">191</definedName>
    <definedName name="xxxEntireArea4ex">1</definedName>
    <definedName name="xxxEntireArea4ey">211</definedName>
    <definedName name="xxxEntireArea5bx">0</definedName>
    <definedName name="xxxEntireArea5by">50</definedName>
    <definedName name="xxxEntireArea5ex">1</definedName>
    <definedName name="xxxEntireArea5ey">109</definedName>
    <definedName name="xxxGNVFileName">"MONTHREP.GNV"</definedName>
    <definedName name="xxxGNVStamp">1004357820</definedName>
    <definedName name="xxxHeaderCols1Count">0</definedName>
    <definedName name="xxxHeaderCols2Count">0</definedName>
    <definedName name="xxxHeaderCols3Count">0</definedName>
    <definedName name="xxxHeaderCols4Count">0</definedName>
    <definedName name="xxxHeaderCols5Count">0</definedName>
    <definedName name="xxxHeaderRows1Count">0</definedName>
    <definedName name="xxxHeaderRows2Count">0</definedName>
    <definedName name="xxxHeaderRows3Count">0</definedName>
    <definedName name="xxxHeaderRows4Count">2</definedName>
    <definedName name="xxxHeaderRows4Number0">204</definedName>
    <definedName name="xxxHeaderRows4Number1">208</definedName>
    <definedName name="xxxHeaderRows4Over0">0</definedName>
    <definedName name="xxxHeaderRows4Over1">0</definedName>
    <definedName name="xxxHeaderRows4Submit0">1</definedName>
    <definedName name="xxxHeaderRows4Submit1">1</definedName>
    <definedName name="xxxHeaderRows5Count">2</definedName>
    <definedName name="xxxHeaderRows5Number0">63</definedName>
    <definedName name="xxxHeaderRows5Number1">90</definedName>
    <definedName name="xxxHeaderRows5Over0">0</definedName>
    <definedName name="xxxHeaderRows5Over1">0</definedName>
    <definedName name="xxxHeaderRows5Submit0">1</definedName>
    <definedName name="xxxHeaderRows5Submit1">1</definedName>
    <definedName name="xxxNumber_Areas">5</definedName>
    <definedName name="xxxODECols1Count">0</definedName>
    <definedName name="xxxODECols2Count">0</definedName>
    <definedName name="xxxODECols3Count">0</definedName>
    <definedName name="xxxODECols4Count">0</definedName>
    <definedName name="xxxODECols5Count">0</definedName>
    <definedName name="xxxODERows1Count">0</definedName>
    <definedName name="xxxODERows2Count">0</definedName>
    <definedName name="xxxODERows3Count">0</definedName>
    <definedName name="xxxODERows4Count">0</definedName>
    <definedName name="xxxODERows5Count">0</definedName>
    <definedName name="xxxRefreshable">1</definedName>
    <definedName name="xxxRLabel1.1.Prompt">0</definedName>
    <definedName name="xxxRLabel1.10.Prompt">0</definedName>
    <definedName name="xxxRLabel1.11.Prompt">0</definedName>
    <definedName name="xxxRLabel1.12.Prompt">0</definedName>
    <definedName name="xxxRLabel1.13.Prompt">0</definedName>
    <definedName name="xxxRLabel1.14.Prompt">0</definedName>
    <definedName name="xxxRLabel1.15.Prompt">0</definedName>
    <definedName name="xxxRLabel1.16.Prompt">0</definedName>
    <definedName name="xxxRLabel1.17.Prompt">0</definedName>
    <definedName name="xxxRLabel1.18.Prompt">0</definedName>
    <definedName name="xxxRLabel1.19.Prompt">0</definedName>
    <definedName name="xxxRLabel1.2.Prompt">0</definedName>
    <definedName name="xxxRLabel1.20.Prompt">0</definedName>
    <definedName name="xxxRLabel1.21.Prompt">0</definedName>
    <definedName name="xxxRLabel1.22.Prompt">0</definedName>
    <definedName name="xxxRLabel1.23.Prompt">0</definedName>
    <definedName name="xxxRLabel1.24.Prompt">0</definedName>
    <definedName name="xxxRLabel1.25.Prompt">0</definedName>
    <definedName name="xxxRLabel1.26.Prompt">0</definedName>
    <definedName name="xxxRLabel1.27.Prompt">0</definedName>
    <definedName name="xxxRLabel1.28.Prompt">0</definedName>
    <definedName name="xxxRLabel1.29.Prompt">0</definedName>
    <definedName name="xxxRLabel1.3.Prompt">0</definedName>
    <definedName name="xxxRLabel1.30.Prompt">0</definedName>
    <definedName name="xxxRLabel1.31.Prompt">0</definedName>
    <definedName name="xxxRLabel1.32.Prompt">0</definedName>
    <definedName name="xxxRLabel1.4.Prompt">0</definedName>
    <definedName name="xxxRLabel1.5.Prompt">0</definedName>
    <definedName name="xxxRLabel1.6.Prompt">0</definedName>
    <definedName name="xxxRLabel1.7.Prompt">0</definedName>
    <definedName name="xxxRLabel1.8.Prompt">0</definedName>
    <definedName name="xxxRLabel1.9.Prompt">0</definedName>
    <definedName name="xxxRLabel2.1.Prompt">0</definedName>
    <definedName name="xxxRLabel2.10.Prompt">0</definedName>
    <definedName name="xxxRLabel2.11.Prompt">0</definedName>
    <definedName name="xxxRLabel2.12.Prompt">0</definedName>
    <definedName name="xxxRLabel2.13.Prompt">0</definedName>
    <definedName name="xxxRLabel2.14.Prompt">0</definedName>
    <definedName name="xxxRLabel2.15.Prompt">0</definedName>
    <definedName name="xxxRLabel2.16.Prompt">0</definedName>
    <definedName name="xxxRLabel2.17.Prompt">0</definedName>
    <definedName name="xxxRLabel2.18.Prompt">0</definedName>
    <definedName name="xxxRLabel2.19.Prompt">0</definedName>
    <definedName name="xxxRLabel2.2.Prompt">0</definedName>
    <definedName name="xxxRLabel2.20.Prompt">0</definedName>
    <definedName name="xxxRLabel2.21.Prompt">0</definedName>
    <definedName name="xxxRLabel2.22.Prompt">0</definedName>
    <definedName name="xxxRLabel2.23.Prompt">0</definedName>
    <definedName name="xxxRLabel2.24.Prompt">0</definedName>
    <definedName name="xxxRLabel2.25.Prompt">0</definedName>
    <definedName name="xxxRLabel2.26.Prompt">0</definedName>
    <definedName name="xxxRLabel2.27.Prompt">0</definedName>
    <definedName name="xxxRLabel2.28.Prompt">0</definedName>
    <definedName name="xxxRLabel2.29.Prompt">0</definedName>
    <definedName name="xxxRLabel2.3.Prompt">0</definedName>
    <definedName name="xxxRLabel2.30.Prompt">0</definedName>
    <definedName name="xxxRLabel2.31.Prompt">0</definedName>
    <definedName name="xxxRLabel2.32.Prompt">0</definedName>
    <definedName name="xxxRLabel2.33.Prompt">0</definedName>
    <definedName name="xxxRLabel2.34.Prompt">0</definedName>
    <definedName name="xxxRLabel2.35.Prompt">0</definedName>
    <definedName name="xxxRLabel2.36.Prompt">0</definedName>
    <definedName name="xxxRLabel2.37.Prompt">0</definedName>
    <definedName name="xxxRLabel2.4.Prompt">0</definedName>
    <definedName name="xxxRLabel2.5.Prompt">0</definedName>
    <definedName name="xxxRLabel2.6.Prompt">0</definedName>
    <definedName name="xxxRLabel2.7.Prompt">0</definedName>
    <definedName name="xxxRLabel2.8.Prompt">0</definedName>
    <definedName name="xxxRLabel2.9.Prompt">0</definedName>
    <definedName name="xxxRLabel3.1.Prompt">0</definedName>
    <definedName name="xxxRLabel3.2.Prompt">0</definedName>
    <definedName name="xxxRLabel3.3.Prompt">0</definedName>
    <definedName name="xxxRLabel3.4.Prompt">0</definedName>
    <definedName name="xxxRLabel3.5.Prompt">0</definedName>
    <definedName name="xxxRLabel3.6.Prompt">0</definedName>
    <definedName name="xxxRLabel4.1.Prompt">0</definedName>
    <definedName name="xxxRLabel4.2.Prompt">0</definedName>
    <definedName name="xxxRLabel4.3.Prompt">0</definedName>
    <definedName name="xxxRLabel4.4.Prompt">0</definedName>
    <definedName name="xxxRLabel4.5.Prompt">0</definedName>
    <definedName name="xxxRLabel4.6.Prompt">0</definedName>
    <definedName name="xxxRLabel4.7.Prompt">0</definedName>
    <definedName name="xxxRLabel4.8.Prompt">0</definedName>
    <definedName name="xxxRLabel5.1.Prompt">0</definedName>
    <definedName name="xxxRLabel5.10.Prompt">0</definedName>
    <definedName name="xxxRLabel5.11.Prompt">0</definedName>
    <definedName name="xxxRLabel5.12.Prompt">0</definedName>
    <definedName name="xxxRLabel5.13.Prompt">0</definedName>
    <definedName name="xxxRLabel5.14.Prompt">0</definedName>
    <definedName name="xxxRLabel5.15.Prompt">0</definedName>
    <definedName name="xxxRLabel5.16.Prompt">0</definedName>
    <definedName name="xxxRLabel5.17.Prompt">0</definedName>
    <definedName name="xxxRLabel5.18.Prompt">0</definedName>
    <definedName name="xxxRLabel5.19.Prompt">0</definedName>
    <definedName name="xxxRLabel5.2.Prompt">0</definedName>
    <definedName name="xxxRLabel5.20.Prompt">0</definedName>
    <definedName name="xxxRLabel5.21.Prompt">0</definedName>
    <definedName name="xxxRLabel5.22.Prompt">0</definedName>
    <definedName name="xxxRLabel5.23.Prompt">0</definedName>
    <definedName name="xxxRLabel5.24.Prompt">0</definedName>
    <definedName name="xxxRLabel5.25.Prompt">0</definedName>
    <definedName name="xxxRLabel5.26.Prompt">0</definedName>
    <definedName name="xxxRLabel5.27.Prompt">0</definedName>
    <definedName name="xxxRLabel5.28.Prompt">0</definedName>
    <definedName name="xxxRLabel5.29.Prompt">0</definedName>
    <definedName name="xxxRLabel5.3.Prompt">0</definedName>
    <definedName name="xxxRLabel5.30.Prompt">0</definedName>
    <definedName name="xxxRLabel5.31.Prompt">0</definedName>
    <definedName name="xxxRLabel5.32.Prompt">0</definedName>
    <definedName name="xxxRLabel5.33.Prompt">0</definedName>
    <definedName name="xxxRLabel5.34.Prompt">0</definedName>
    <definedName name="xxxRLabel5.35.Prompt">0</definedName>
    <definedName name="xxxRLabel5.36.Prompt">0</definedName>
    <definedName name="xxxRLabel5.37.Prompt">0</definedName>
    <definedName name="xxxRLabel5.38.Prompt">0</definedName>
    <definedName name="xxxRLabel5.39.Prompt">0</definedName>
    <definedName name="xxxRLabel5.4.Prompt">0</definedName>
    <definedName name="xxxRLabel5.40.Prompt">0</definedName>
    <definedName name="xxxRLabel5.41.Prompt">0</definedName>
    <definedName name="xxxRLabel5.42.Prompt">0</definedName>
    <definedName name="xxxRLabel5.43.Prompt">0</definedName>
    <definedName name="xxxRLabel5.44.Prompt">0</definedName>
    <definedName name="xxxRLabel5.45.Prompt">0</definedName>
    <definedName name="xxxRLabel5.46.Prompt">0</definedName>
    <definedName name="xxxRLabel5.47.Prompt">0</definedName>
    <definedName name="xxxRLabel5.5.Prompt">0</definedName>
    <definedName name="xxxRLabel5.6.Prompt">0</definedName>
    <definedName name="xxxRLabel5.7.Prompt">0</definedName>
    <definedName name="xxxRLabel5.8.Prompt">0</definedName>
    <definedName name="xxxRLabel5.9.Prompt">0</definedName>
    <definedName name="xxxRowHeader1bx">0</definedName>
    <definedName name="xxxRowHeader1by">13</definedName>
    <definedName name="xxxRowHeader1ex">0</definedName>
    <definedName name="xxxRowHeader1ey">13</definedName>
    <definedName name="xxxRowHeader2bx">0</definedName>
    <definedName name="xxxRowHeader2by">125</definedName>
    <definedName name="xxxRowHeader2ex">0</definedName>
    <definedName name="xxxRowHeader2ey">125</definedName>
    <definedName name="xxxRowHeader3bx">0</definedName>
    <definedName name="xxxRowHeader3by">179</definedName>
    <definedName name="xxxRowHeader3ex">0</definedName>
    <definedName name="xxxRowHeader3ey">179</definedName>
    <definedName name="xxxRowHeader4bx">0</definedName>
    <definedName name="xxxRowHeader4by">202</definedName>
    <definedName name="xxxRowHeader4ex">0</definedName>
    <definedName name="xxxRowHeader4ey">202</definedName>
    <definedName name="xxxRowHeader5bx">0</definedName>
    <definedName name="xxxRowHeader5by">61</definedName>
    <definedName name="xxxRowHeader5ex">0</definedName>
    <definedName name="xxxRowHeader5ey">61</definedName>
    <definedName name="xxxRowLabels1bx">0</definedName>
    <definedName name="xxxRowLabels1by">15</definedName>
    <definedName name="xxxRowLabels1ex">0</definedName>
    <definedName name="xxxRowLabels1ey">46</definedName>
    <definedName name="xxxRowLabels2bx">0</definedName>
    <definedName name="xxxRowLabels2by">127</definedName>
    <definedName name="xxxRowLabels2ex">0</definedName>
    <definedName name="xxxRowLabels2ey">163</definedName>
    <definedName name="xxxRowLabels3bx">0</definedName>
    <definedName name="xxxRowLabels3by">181</definedName>
    <definedName name="xxxRowLabels3ex">0</definedName>
    <definedName name="xxxRowLabels3ey">186</definedName>
    <definedName name="xxxRowLabels4bx">0</definedName>
    <definedName name="xxxRowLabels4by">204</definedName>
    <definedName name="xxxRowLabels4ex">0</definedName>
    <definedName name="xxxRowLabels4ey">211</definedName>
    <definedName name="xxxRowLabels5bx">0</definedName>
    <definedName name="xxxRowLabels5by">63</definedName>
    <definedName name="xxxRowLabels5ex">0</definedName>
    <definedName name="xxxRowLabels5ey">109</definedName>
    <definedName name="xxxSubmittable">1</definedName>
    <definedName name="xxxUDCols1Count">0</definedName>
    <definedName name="xxxUDCols2Count">0</definedName>
    <definedName name="xxxUDCols3Count">0</definedName>
    <definedName name="xxxUDCols4Count">0</definedName>
    <definedName name="xxxUDCols5Count">0</definedName>
    <definedName name="xxxUDRows1Count">0</definedName>
    <definedName name="xxxUDRows2Count">0</definedName>
    <definedName name="xxxUDRows3Count">0</definedName>
    <definedName name="xxxUDRows4Count">0</definedName>
    <definedName name="xxxUDRows5Count">0</definedName>
    <definedName name="xxxWorksheet_Name">"Sheet1"</definedName>
    <definedName name="xxxx" hidden="1">{"detail",#N/A,FALSE,"mfg";"summary",#N/A,FALSE,"mfg"}</definedName>
    <definedName name="xxxxx" hidden="1">{#N/A,#N/A,FALSE,"Pharm";#N/A,#N/A,FALSE,"WWCM"}</definedName>
    <definedName name="XXXXXX">#REF!</definedName>
    <definedName name="XXXXXXXX">#REF!</definedName>
    <definedName name="xxxxxyyyyyy">#REF!</definedName>
    <definedName name="xxxxyyyyy">#REF!</definedName>
    <definedName name="xy">#N/A</definedName>
    <definedName name="xyz">#REF!</definedName>
    <definedName name="xyz_16">#REF!</definedName>
    <definedName name="xyz_17">#REF!</definedName>
    <definedName name="xyz_4">#REF!</definedName>
    <definedName name="xzc">#REF!</definedName>
    <definedName name="XZS" hidden="1">{"'BGT2001'!$A$1:$AE$112"}</definedName>
    <definedName name="xzxz" hidden="1">{#N/A,"PURCHM",FALSE,"Business Analysis";#N/A,"SPADD",FALSE,"Business Analysis"}</definedName>
    <definedName name="y">#REF!</definedName>
    <definedName name="Y32_">#REF!</definedName>
    <definedName name="YACCS">#REF!</definedName>
    <definedName name="YACCS01">#REF!</definedName>
    <definedName name="YACCS02">#REF!</definedName>
    <definedName name="YACCS1">#REF!</definedName>
    <definedName name="YACCS12">#REF!</definedName>
    <definedName name="YACCS2">#REF!</definedName>
    <definedName name="YACCS5">#REF!</definedName>
    <definedName name="YACCSM">#REF!</definedName>
    <definedName name="YALL">#REF!</definedName>
    <definedName name="YAMU">#REF!</definedName>
    <definedName name="yan">#REF!</definedName>
    <definedName name="YARN_CONSUMPTION_COST_BUDGET">#REF!</definedName>
    <definedName name="YB211B7B000_0110SPvsYH0C3B78000_136D">#REF!</definedName>
    <definedName name="YBN" hidden="1">{#N/A,#N/A,FALSE,"Tabl. A1";#N/A,#N/A,FALSE,"Tabl. A1 b";#N/A,#N/A,FALSE,"Tabl. A2";#N/A,#N/A,FALSE,"Tabl. A2-1";#N/A,#N/A,FALSE,"Tabl. A2-2"}</definedName>
    <definedName name="YCS">#REF!</definedName>
    <definedName name="ycs2">#REF!</definedName>
    <definedName name="ycs3">#REF!</definedName>
    <definedName name="YCS4">#REF!</definedName>
    <definedName name="YCS5">#REF!</definedName>
    <definedName name="YCS6">#REF!</definedName>
    <definedName name="YCS8">#REF!</definedName>
    <definedName name="YCS9">#REF!</definedName>
    <definedName name="YE">#REF!</definedName>
    <definedName name="year">#REF!</definedName>
    <definedName name="Year_Bis">#REF!</definedName>
    <definedName name="Year2">#REF!</definedName>
    <definedName name="YearStart1">#REF!</definedName>
    <definedName name="YearStart10">#REF!</definedName>
    <definedName name="YearStart11">#REF!</definedName>
    <definedName name="YearStart12">#REF!</definedName>
    <definedName name="YearStart2">#REF!</definedName>
    <definedName name="YearStart3">#REF!</definedName>
    <definedName name="YearStart4">#REF!</definedName>
    <definedName name="YearStart5">#REF!</definedName>
    <definedName name="YearStart58">#REF!</definedName>
    <definedName name="YearStart6">#REF!</definedName>
    <definedName name="YearStart7">#REF!</definedName>
    <definedName name="YearStart8">#REF!</definedName>
    <definedName name="yec_50">#REF!</definedName>
    <definedName name="YEGU">#REF!</definedName>
    <definedName name="YEN">#REF!</definedName>
    <definedName name="Yen_to_Oz">#REF!</definedName>
    <definedName name="yes">#REF!</definedName>
    <definedName name="YESL">#REF!</definedName>
    <definedName name="YesNo">#REF!</definedName>
    <definedName name="YESTSFPL">#REF!</definedName>
    <definedName name="YEWB">#REF!</definedName>
    <definedName name="YEX">#REF!</definedName>
    <definedName name="yeya" hidden="1">{#N/A,#N/A,FALSE,"PGW"}</definedName>
    <definedName name="yeya_1" hidden="1">{#N/A,#N/A,FALSE,"PGW"}</definedName>
    <definedName name="yeya_2" hidden="1">{#N/A,#N/A,FALSE,"PGW"}</definedName>
    <definedName name="yeya_3" hidden="1">{#N/A,#N/A,FALSE,"PGW"}</definedName>
    <definedName name="yeya_4" hidden="1">{#N/A,#N/A,FALSE,"PGW"}</definedName>
    <definedName name="yg" hidden="1">{"Polymers Details",#N/A,FALSE,"Current Yr";"Polymer Details",#N/A,FALSE,"Budget";"Polymer Details",#N/A,FALSE,"Prior Year"}</definedName>
    <definedName name="yh" hidden="1">{#N/A,#N/A,TRUE,"SCR-LA 2000";#N/A,#N/A,TRUE,"SCR-LA 2001";#N/A,#N/A,TRUE,"SCR-LA 2002";#N/A,#N/A,TRUE,"SCR-LA 2003"}</definedName>
    <definedName name="YH554BCA000_0102SPK">#REF!</definedName>
    <definedName name="YH554BCA000_0102SPKvsYH523BC1000_60_136A">#REF!</definedName>
    <definedName name="yhn" hidden="1">{#N/A,#N/A,FALSE,"Model";#N/A,#N/A,FALSE,"Division"}</definedName>
    <definedName name="YHO">#REF!</definedName>
    <definedName name="yhryry" hidden="1">{#N/A,#N/A,FALSE,"QC REVIEW"}</definedName>
    <definedName name="yielded">#REF!</definedName>
    <definedName name="YJ0">#REF!</definedName>
    <definedName name="YK311C2AP74_000517">#REF!</definedName>
    <definedName name="YK311C2AP74_000529">#REF!</definedName>
    <definedName name="ym" hidden="1">{#N/A,"PURCHM",FALSE,"Business Analysis";#N/A,"SPADD",FALSE,"Business Analysis"}</definedName>
    <definedName name="YMS">#REF!</definedName>
    <definedName name="YMSEXP">#REF!</definedName>
    <definedName name="YN">#REF!</definedName>
    <definedName name="YN_1">#REF!</definedName>
    <definedName name="YN_2">#REF!</definedName>
    <definedName name="YN_3">#REF!</definedName>
    <definedName name="YNBH">#REF!</definedName>
    <definedName name="YNCH">#REF!</definedName>
    <definedName name="YNDL">#REF!</definedName>
    <definedName name="YNHP">#REF!</definedName>
    <definedName name="YNHR">#REF!</definedName>
    <definedName name="YNJK">#REF!</definedName>
    <definedName name="YNMP">#REF!</definedName>
    <definedName name="YNNP">#REF!</definedName>
    <definedName name="YNPB">#REF!</definedName>
    <definedName name="YNRJ">#REF!</definedName>
    <definedName name="YNUK">#REF!</definedName>
    <definedName name="YORR">#REF!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2007.BusLossOthThanSpecLossCF10">#REF!</definedName>
    <definedName name="yr2007.HPLossCF10">#REF!</definedName>
    <definedName name="yr2007.LossFrmSpecBusCF10">#REF!</definedName>
    <definedName name="yr2007.LTCGLossCF10">#REF!</definedName>
    <definedName name="yr2007.OthSrcLossRaceHorseCF10">#REF!</definedName>
    <definedName name="yr2007.STCGLossCF10">#REF!</definedName>
    <definedName name="YR7C1BC6000_134SY">#REF!</definedName>
    <definedName name="YR7C2BC6000_0002SPvsYR7C1BC6000_134SY">#REF!</definedName>
    <definedName name="yrtyryt" hidden="1">{#N/A,#N/A,FALSE,"QC REVIEW"}</definedName>
    <definedName name="YS">#REF!</definedName>
    <definedName name="YSHY">#REF!</definedName>
    <definedName name="YSKN">#REF!</definedName>
    <definedName name="YSKR">#REF!</definedName>
    <definedName name="YSTN">#REF!</definedName>
    <definedName name="yt" hidden="1">{#N/A,#N/A,TRUE,"SCR-LA 2000";#N/A,#N/A,TRUE,"SCR-LA 2001";#N/A,#N/A,TRUE,"SCR-LA 2002";#N/A,#N/A,TRUE,"SCR-LA 2003"}</definedName>
    <definedName name="YT4A1CLBE22">#REF!</definedName>
    <definedName name="ytd">#REF!</definedName>
    <definedName name="yTD_MAY">#REF!</definedName>
    <definedName name="ytd1">#REF!</definedName>
    <definedName name="ytd2">#REF!</definedName>
    <definedName name="ytdf">#REF!</definedName>
    <definedName name="YTDPRIOR">#REF!</definedName>
    <definedName name="ytdsalecs">#REF!</definedName>
    <definedName name="ytdsalekg">#REF!</definedName>
    <definedName name="YTHBVFR" hidden="1">{#N/A,#N/A,FALSE,"Tabl. FB300";#N/A,#N/A,FALSE,"Tabl. FB350";#N/A,#N/A,FALSE,"Tabl. FB400";#N/A,#N/A,FALSE,"Tabl. FB500";#N/A,#N/A,FALSE,"Tabl. FS090"}</definedName>
    <definedName name="ytm">#REF!</definedName>
    <definedName name="ytm_pbt">#REF!</definedName>
    <definedName name="ytr" hidden="1">{"A COM Detail YTD",#N/A,FALSE,"DATA";"B Exp Detail YTD",#N/A,FALSE,"DATA"}</definedName>
    <definedName name="ytre" hidden="1">{"overview",#N/A,FALSE,"summary";"net assets",#N/A,FALSE,"summary";"asset turnover",#N/A,FALSE,"summary";"orona",#N/A,FALSE,"summary"}</definedName>
    <definedName name="ytytyt" hidden="1">{"mgmt forecast",#N/A,FALSE,"Mgmt Forecast";"dcf table",#N/A,FALSE,"Mgmt Forecast";"sensitivity",#N/A,FALSE,"Mgmt Forecast";"table inputs",#N/A,FALSE,"Mgmt Forecast";"calculations",#N/A,FALSE,"Mgmt Forecast"}</definedName>
    <definedName name="yu">#REF!</definedName>
    <definedName name="YU87N" hidden="1">{#N/A,#N/A,FALSE,"Tabl. G1";#N/A,#N/A,FALSE,"Tabl. G2"}</definedName>
    <definedName name="YUC" hidden="1">{#N/A,#N/A,FALSE,"Tabl. H1";#N/A,#N/A,FALSE,"Tabl. H2"}</definedName>
    <definedName name="yui" hidden="1">{"Commentary",#N/A,FALSE,"May"}</definedName>
    <definedName name="yuio" hidden="1">{"oct_res_comm",#N/A,FALSE,"VarToBud"}</definedName>
    <definedName name="YUKY">#REF!</definedName>
    <definedName name="yuop" hidden="1">{"OTHER",#N/A,FALSE,"CM"}</definedName>
    <definedName name="yuuiik" hidden="1">{#N/A,#N/A,FALSE,"QC REVIEW"}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W">#REF!</definedName>
    <definedName name="YWGJ">#REF!</definedName>
    <definedName name="YWGO">#REF!</definedName>
    <definedName name="YWMH">#REF!</definedName>
    <definedName name="YWNG">#REF!</definedName>
    <definedName name="YWPN">#REF!</definedName>
    <definedName name="yx" hidden="1">{"overview",#N/A,FALSE,"summary";"net assets",#N/A,FALSE,"summary";"asset turnover",#N/A,FALSE,"summary";"orona",#N/A,FALSE,"summary"}</definedName>
    <definedName name="yxcxycxy" hidden="1">{#N/A,#N/A,FALSE,"Umsatz 99";#N/A,#N/A,FALSE,"ER 99 "}</definedName>
    <definedName name="YY" hidden="1">{#N/A,#N/A,FALSE,"Tabl. A1";#N/A,#N/A,FALSE,"Tabl. A1 b";#N/A,#N/A,FALSE,"Tabl. A2";#N/A,#N/A,FALSE,"Tabl. A2-1";#N/A,#N/A,FALSE,"Tabl. A2-2"}</definedName>
    <definedName name="yy.7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y" hidden="1">{#N/A,#N/A,FALSE,"Other";#N/A,#N/A,FALSE,"Ace";#N/A,#N/A,FALSE,"Derm"}</definedName>
    <definedName name="yyy_1" hidden="1">{#N/A,#N/A,FALSE,"PGW"}</definedName>
    <definedName name="yyy_2" hidden="1">{#N/A,#N/A,FALSE,"PGW"}</definedName>
    <definedName name="yyy_3" hidden="1">{#N/A,#N/A,FALSE,"PGW"}</definedName>
    <definedName name="yyy_4" hidden="1">{#N/A,#N/A,FALSE,"PGW"}</definedName>
    <definedName name="yyyyyyyyyyyyyyyyyyyyyyyyyyyyyyyyyyyyyyyy">#REF!</definedName>
    <definedName name="Z">#REF!</definedName>
    <definedName name="z.l" hidden="1">{#N/A,#N/A,FALSE,"KA CH  (2)"}</definedName>
    <definedName name="Z_108A6D27_B0BA_11D4_BC20_0050BAD6A329_.wvu.PrintTitles" hidden="1">#REF!</definedName>
    <definedName name="Z_29D0F0EC_9D78_11D8_966D_0010DCD29A52_.wvu.FilterData" hidden="1">#REF!</definedName>
    <definedName name="Z_29D0F0EC_9D78_11D8_966D_0010DCD29A52_.wvu.Rows" hidden="1">#REF!,#REF!,#REF!,#REF!</definedName>
    <definedName name="Z_3BB80C40_8485_11D2_A6CB_0080C86BDE56_.wvu.Rows" hidden="1">#REF!</definedName>
    <definedName name="z_4">#REF!</definedName>
    <definedName name="Z_53783511_164C_11D6_AF80_00B0D0D37522_.wvu.PrintArea" hidden="1">#REF!</definedName>
    <definedName name="Z_53C92F30_85B6_4014_9B6C_D00119DB04D8_.wvu.Cols" hidden="1">#REF!,#REF!</definedName>
    <definedName name="Z_5EC7122A_2F1A_11D9_A08B_000129091764_.wvu.Cols" hidden="1">#REF!</definedName>
    <definedName name="Z_5EC7122A_2F1A_11D9_A08B_000129091764_.wvu.Rows" hidden="1">#REF!,#REF!</definedName>
    <definedName name="Z_608C77A8_4B58_11D3_96E6_002035B1638A_.wvu.PrintArea" hidden="1">#REF!</definedName>
    <definedName name="Z_608C77A8_4B58_11D3_96E6_002035B1638A_.wvu.PrintTitles" hidden="1">#REF!</definedName>
    <definedName name="Z_6E59C3A1_B0B6_11D4_823C_002035B16346_.wvu.PrintTitles" hidden="1">#REF!</definedName>
    <definedName name="Z_9F849381_DB0D_11D3_9E95_0010A4E85018_.wvu.PrintArea" hidden="1">#REF!</definedName>
    <definedName name="Z_9F849381_DB0D_11D3_9E95_0010A4E85018_.wvu.PrintTitles" hidden="1">#REF!</definedName>
    <definedName name="Z_B42642A0_9DD9_11D8_B59F_0050BA8C98A5_.wvu.FilterData" hidden="1">#REF!</definedName>
    <definedName name="Z_B42642A0_9DD9_11D8_B59F_0050BA8C98A5_.wvu.Rows" hidden="1">#REF!,#REF!,#REF!,#REF!</definedName>
    <definedName name="Z_D1BA5F80_FCB8_11D2_AAFD_0080C86321D3_.wvu.Rows" hidden="1">#REF!</definedName>
    <definedName name="za" hidden="1">{#N/A,#N/A,FALSE,"Model";#N/A,#N/A,FALSE,"Division"}</definedName>
    <definedName name="ZAA">'[1]Note 33 to 47'!#REF!</definedName>
    <definedName name="ZAA1">'[1]Note 33 to 47'!#REF!</definedName>
    <definedName name="zaCQW" hidden="1">{"turnover",#N/A,FALSE;"profits",#N/A,FALSE;"cash",#N/A,FALSE}</definedName>
    <definedName name="zaq" hidden="1">{#N/A,#N/A,FALSE,"Calc";#N/A,#N/A,FALSE,"Sensitivity";#N/A,#N/A,FALSE,"LT Earn.Dil.";#N/A,#N/A,FALSE,"Dil. AVP"}</definedName>
    <definedName name="ZAR">#REF!</definedName>
    <definedName name="ZARMERRILL">#REF!</definedName>
    <definedName name="zaz" hidden="1">{#N/A,"PURCHM",FALSE,"Business Analysis";#N/A,"SPADD",FALSE,"Business Analysis"}</definedName>
    <definedName name="ZDA">{"'Changes Log'!$A$1:$F$25"}</definedName>
    <definedName name="ZDFGD" hidden="1">{#N/A,#N/A,FALSE,"FINAL"}</definedName>
    <definedName name="zdfhch" hidden="1">{#N/A,#N/A,TRUE,"Argentina";#N/A,#N/A,TRUE,"Brazil";#N/A,#N/A,TRUE,"Venezuela";#N/A,#N/A,TRUE,"Chile";#N/A,#N/A,TRUE,"Other LA";#N/A,#N/A,TRUE,"Puerto Rico"}</definedName>
    <definedName name="ze" hidden="1">{#N/A,#N/A,FALSE,"Profit Status";#N/A,#N/A,FALSE,"Invest";#N/A,#N/A,FALSE,"Revenue";#N/A,#N/A,FALSE,"Variable Cost";#N/A,#N/A,FALSE,"Options &amp; Series"}</definedName>
    <definedName name="zefzefzefze" hidden="1">{#N/A,#N/A,FALSE,"Profit Status";#N/A,#N/A,FALSE,"Invest";#N/A,#N/A,FALSE,"Revenue";#N/A,#N/A,FALSE,"Variable Cost";#N/A,#N/A,FALSE,"Options &amp; Series"}</definedName>
    <definedName name="zep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hyr">#REF!</definedName>
    <definedName name="zer" hidden="1">{#N/A,#N/A,FALSE,"Calc";#N/A,#N/A,FALSE,"Sensitivity";#N/A,#N/A,FALSE,"LT Earn.Dil.";#N/A,#N/A,FALSE,"Dil. AVP"}</definedName>
    <definedName name="ZERO_BILLS">#REF!</definedName>
    <definedName name="Zero_BP_02_JUL_02">#REF!</definedName>
    <definedName name="zesewe" hidden="1">{#N/A,#N/A,FALSE,"FREE"}</definedName>
    <definedName name="zesewe_2" hidden="1">{#N/A,#N/A,FALSE,"FREE"}</definedName>
    <definedName name="zesewe_3" hidden="1">{#N/A,#N/A,FALSE,"FREE"}</definedName>
    <definedName name="zesewe_4" hidden="1">{#N/A,#N/A,FALSE,"FREE"}</definedName>
    <definedName name="ZF">#REF!</definedName>
    <definedName name="zhu" hidden="1">{#N/A,#N/A,FALSE,"REPORT"}</definedName>
    <definedName name="zhutr" hidden="1">{#N/A,#N/A,FALSE,"REPORT"}</definedName>
    <definedName name="Zidance2008">#REF!</definedName>
    <definedName name="Zinsen1_3">#REF!</definedName>
    <definedName name="Zinsen4_5">#REF!</definedName>
    <definedName name="Zinsen6_7">#REF!</definedName>
    <definedName name="Zinsen8up">#REF!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ip">#REF!</definedName>
    <definedName name="zl" hidden="1">{#N/A,"PURCHM",FALSE,"Business Analysis";#N/A,"SPADD",FALSE,"Business Analysis"}</definedName>
    <definedName name="zLJKDhju" hidden="1">{"page 1",#N/A,FALSE,"A";"page 2",#N/A,FALSE,"A";"page 3",#N/A,FALSE,"A";"page 4",#N/A,FALSE,"A";"page 5",#N/A,FALSE,"A"}</definedName>
    <definedName name="ZM1AD">#REF!</definedName>
    <definedName name="ZM1ARL">#REF!</definedName>
    <definedName name="ZM1BLD">#REF!</definedName>
    <definedName name="ZM1BRL">#REF!</definedName>
    <definedName name="ZM1CLCF">#REF!</definedName>
    <definedName name="ZM1CLCP">#REF!</definedName>
    <definedName name="ZM1CLF">#REF!</definedName>
    <definedName name="ZM1CLP">#REF!</definedName>
    <definedName name="ZM1DF">#REF!</definedName>
    <definedName name="ZM1DP">#REF!</definedName>
    <definedName name="ZM1MR">#REF!</definedName>
    <definedName name="ZM1OP">#REF!</definedName>
    <definedName name="ZM1RL">#REF!</definedName>
    <definedName name="ZM1SAF">#REF!</definedName>
    <definedName name="ZM1SAP">#REF!</definedName>
    <definedName name="ZM2CLF">#REF!</definedName>
    <definedName name="ZM2CLP">#REF!</definedName>
    <definedName name="ZM2DF">#REF!</definedName>
    <definedName name="ZM2DP">#REF!</definedName>
    <definedName name="ZM2MR">#REF!</definedName>
    <definedName name="ZM2RL">#REF!</definedName>
    <definedName name="ZM2SAF">#REF!</definedName>
    <definedName name="ZM2SAP">#REF!</definedName>
    <definedName name="ZM3CLF">#REF!</definedName>
    <definedName name="ZM3CLP">#REF!</definedName>
    <definedName name="ZM3DF">#REF!</definedName>
    <definedName name="ZM3DP">#REF!</definedName>
    <definedName name="ZM3MR">#REF!</definedName>
    <definedName name="ZM3RL">#REF!</definedName>
    <definedName name="ZM3SAF">#REF!</definedName>
    <definedName name="ZM3SAP">#REF!</definedName>
    <definedName name="Zone_impres_MI">#REF!</definedName>
    <definedName name="ZORR">#REF!</definedName>
    <definedName name="ZP">#REF!</definedName>
    <definedName name="zsaz">#REF!</definedName>
    <definedName name="zsdcssdv">#REF!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WEI">#REF!</definedName>
    <definedName name="ZWX" hidden="1">{#N/A,#N/A,FALSE,"Tabl. A1";#N/A,#N/A,FALSE,"Tabl. A1 b";#N/A,#N/A,FALSE,"Tabl. A2";#N/A,#N/A,FALSE,"Tabl. A2-1";#N/A,#N/A,FALSE,"Tabl. A2-2"}</definedName>
    <definedName name="zx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3_16">#REF!</definedName>
    <definedName name="zx3_17">#REF!</definedName>
    <definedName name="zx3_4">#REF!</definedName>
    <definedName name="zxzx" hidden="1">{"oct_res_comm",#N/A,FALSE,"VarToBud"}</definedName>
    <definedName name="ZYX">#REF!</definedName>
    <definedName name="ZZ">#REF!</definedName>
    <definedName name="ZZ_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4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a4pg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Z">#REF!</definedName>
    <definedName name="ZZZ_1" hidden="1">{#N/A,#N/A,FALSE,"PGW"}</definedName>
    <definedName name="ZZZ_2" hidden="1">{#N/A,#N/A,FALSE,"PGW"}</definedName>
    <definedName name="ZZZ_3" hidden="1">{#N/A,#N/A,FALSE,"PGW"}</definedName>
    <definedName name="ZZZ_4" hidden="1">{#N/A,#N/A,FALSE,"PGW"}</definedName>
    <definedName name="zzzz">#REF!</definedName>
    <definedName name="zzzzz" hidden="1">{#N/A,#N/A,FALSE,"REPORT"}</definedName>
    <definedName name="zzzzzzzzzzzz" hidden="1">{#N/A,#N/A,FALSE,"COVER.XLS";#N/A,#N/A,FALSE,"RACT1.XLS";#N/A,#N/A,FALSE,"RACT2.XLS";#N/A,#N/A,FALSE,"ECCMP";#N/A,#N/A,FALSE,"WELDER.XLS"}</definedName>
    <definedName name="ZZZZZZZZZZZZZZZ" hidden="1">{#N/A,#N/A,FALSE,"Tabl. FB300";#N/A,#N/A,FALSE,"Tabl. FB350";#N/A,#N/A,FALSE,"Tabl. FB400";#N/A,#N/A,FALSE,"Tabl. FB500";#N/A,#N/A,FALSE,"Tabl. FS090"}</definedName>
    <definedName name="α">#REF!</definedName>
    <definedName name="β">#REF!</definedName>
    <definedName name="γ">#REF!</definedName>
    <definedName name="π">PI()</definedName>
    <definedName name="ああああ" hidden="1">#REF!</definedName>
    <definedName name="ああああああ" hidden="1">{#N/A,#N/A,FALSE,"Categories";#N/A,#N/A,FALSE,"MRi INCH";#N/A,#N/A,FALSE,"COA Usage";#N/A,#N/A,FALSE,"Detail"}</definedName>
    <definedName name="ｲﾝｻﾂ">#REF!</definedName>
    <definedName name="ｲﾝｻﾂ2">#REF!</definedName>
    <definedName name="エラー処理">#REF!</definedName>
    <definedName name="きれいなかなん">#REF!</definedName>
    <definedName name="クエリ4">#REF!</definedName>
    <definedName name="クエリー4">#REF!</definedName>
    <definedName name="ｺｰﾄﾞＮＯ">#REF!</definedName>
    <definedName name="コスト">#REF!</definedName>
    <definedName name="コネクタのみSUB_B_2">#REF!</definedName>
    <definedName name="ｽｸﾗｯﾌﾟﾘﾀｰﾝ">#N/A</definedName>
    <definedName name="ﾌｧｲﾙ内容">#REF!</definedName>
    <definedName name="ﾒｲﾝﾒﾆｭ_">#N/A</definedName>
    <definedName name="メニュ_1">#REF!</definedName>
    <definedName name="メニュ_2">#REF!</definedName>
    <definedName name="メニュ_3">#REF!</definedName>
    <definedName name="もりた">#REF!</definedName>
    <definedName name="ﾔﾈ集計以外詳細">#REF!</definedName>
    <definedName name="レベル1">#REF!</definedName>
    <definedName name="レベル２">#REF!</definedName>
    <definedName name="ฟท19">#REF!</definedName>
    <definedName name="ฤฌ97">#REF!</definedName>
    <definedName name="ㄱㄱㄱ" hidden="1">{"'7'!$B$15:$D$32"}</definedName>
    <definedName name="ㄱㄷㅈㄱ" hidden="1">{"'7'!$B$15:$D$32"}</definedName>
    <definedName name="가가가">#REF!</definedName>
    <definedName name="개발">#REF!</definedName>
    <definedName name="개발개요">#REF!</definedName>
    <definedName name="개발시험종합" hidden="1">#REF!</definedName>
    <definedName name="건설조직">#REF!</definedName>
    <definedName name="견적" hidden="1">{TRUE,TRUE,-1.25,-15.5,484.5,300,FALSE,TRUE,TRUE,TRUE,0,2,#N/A,1,#N/A,4,18.7058823529412,1,FALSE,FALSE,3,TRUE,1,FALSE,100,"Swvu.nnn.","ACwvu.nnn.",1,FALSE,FALSE,0.5,0.5,1,1,1,"&amp;F","Page &amp;P",FALSE,FALSE,FALSE,TRUE,1,100,#N/A,#N/A,FALSE,FALSE,#N/A,#N/A,FALSE,FALSE}</definedName>
    <definedName name="결과">#REF!</definedName>
    <definedName name="경쟁3">#REF!</definedName>
    <definedName name="계">#REF!</definedName>
    <definedName name="고" hidden="1">{#N/A,#N/A,FALSE,"REPORT"}</definedName>
    <definedName name="공장2">#REF!</definedName>
    <definedName name="공장3">#REF!</definedName>
    <definedName name="과거차이력">#REF!</definedName>
    <definedName name="구칠금형">#REF!</definedName>
    <definedName name="국내abs">#REF!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기">#REF!</definedName>
    <definedName name="기기">#REF!</definedName>
    <definedName name="기아">#REF!</definedName>
    <definedName name="기안">#REF!</definedName>
    <definedName name="기안3">#REF!</definedName>
    <definedName name="기안갑">#REF!</definedName>
    <definedName name="기안갑1">#N/A</definedName>
    <definedName name="기안갑마">#REF!</definedName>
    <definedName name="기안병">#REF!</definedName>
    <definedName name="기안용지">#REF!</definedName>
    <definedName name="기안을">#REF!</definedName>
    <definedName name="기안을1">#N/A</definedName>
    <definedName name="기업투자">#REF!</definedName>
    <definedName name="기존차문제점">#REF!</definedName>
    <definedName name="김경원">#REF!</definedName>
    <definedName name="김신희" hidden="1">{"'7'!$B$15:$D$32"}</definedName>
    <definedName name="김영준">#REF!</definedName>
    <definedName name="김ㅈㅗㅊ리" hidden="1">{"'7'!$B$15:$D$32"}</definedName>
    <definedName name="김태종" hidden="1">{TRUE,TRUE,-1.25,-15.5,484.5,300,FALSE,TRUE,TRUE,TRUE,0,2,#N/A,1,#N/A,4,18.7058823529412,1,FALSE,FALSE,3,TRUE,1,FALSE,100,"Swvu.nnn.","ACwvu.nnn.",1,FALSE,FALSE,0.5,0.5,1,1,1,"&amp;F","Page &amp;P",FALSE,FALSE,FALSE,TRUE,1,100,#N/A,#N/A,FALSE,FALSE,#N/A,#N/A,FALSE,FALSE}</definedName>
    <definedName name="ㄴㄴ">#REF!</definedName>
    <definedName name="ㄴㄴㄴ" hidden="1">{"'7'!$B$15:$D$32"}</definedName>
    <definedName name="나">#REF!</definedName>
    <definedName name="나라">#REF!</definedName>
    <definedName name="나현상">#REF!</definedName>
    <definedName name="남규석">#REF!</definedName>
    <definedName name="납품보고">#REF!</definedName>
    <definedName name="년도__실적추정은_건설이자_미포">#REF!</definedName>
    <definedName name="년목표">#REF!</definedName>
    <definedName name="ㄶㅇ노ㅗㄶ호" hidden="1">{#N/A,#N/A,FALSE,"REPORT"}</definedName>
    <definedName name="ㄷ">#REF!</definedName>
    <definedName name="다">#REF!</definedName>
    <definedName name="단계별일정">#REF!</definedName>
    <definedName name="단위">1000</definedName>
    <definedName name="단위_백만원">#REF!</definedName>
    <definedName name="담당업무">#REF!</definedName>
    <definedName name="당해사업년도의_감사내부감사의_">#REF!</definedName>
    <definedName name="대리점">#REF!</definedName>
    <definedName name="대상">#REF!</definedName>
    <definedName name="대상업체">#REF!</definedName>
    <definedName name="대회">#REF!</definedName>
    <definedName name="도면">#REF!</definedName>
    <definedName name="도장">#REF!</definedName>
    <definedName name="동반진출">#REF!</definedName>
    <definedName name="동일">#REF!</definedName>
    <definedName name="ㄹㄴㅇㄴ">#REF!</definedName>
    <definedName name="ㄹㄹ">#REF!</definedName>
    <definedName name="라">#REF!</definedName>
    <definedName name="ㅁ1430">#REF!</definedName>
    <definedName name="ㅁ169">#REF!</definedName>
    <definedName name="ㅁddd">#REF!</definedName>
    <definedName name="ㅁㅁㅁㅁㅁ">#REF!</definedName>
    <definedName name="ㅁㅈㅂㅈㅂ" hidden="1">#REF!</definedName>
    <definedName name="마">#REF!</definedName>
    <definedName name="마스터일정">#REF!</definedName>
    <definedName name="매출이익">#REF!</definedName>
    <definedName name="매크로10">#REF!</definedName>
    <definedName name="매크로12">#REF!</definedName>
    <definedName name="매크로13">#REF!</definedName>
    <definedName name="모">#REF!</definedName>
    <definedName name="목표">#REF!</definedName>
    <definedName name="미애" hidden="1">{#N/A,#N/A,FALSE,"REPORT"}</definedName>
    <definedName name="밋션별">#REF!</definedName>
    <definedName name="ㅂㅁ" hidden="1">{#N/A,"PURCHM",FALSE,"Business Analysis";#N/A,"SPADD",FALSE,"Business Analysis"}</definedName>
    <definedName name="바보">#REF!</definedName>
    <definedName name="박상">#REF!</definedName>
    <definedName name="발">#REF!</definedName>
    <definedName name="방인호">#REF!</definedName>
    <definedName name="방청B">#REF!</definedName>
    <definedName name="백만">1000000</definedName>
    <definedName name="벗">#REF!</definedName>
    <definedName name="변경">#REF!</definedName>
    <definedName name="별지6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본부목표계">#REF!</definedName>
    <definedName name="부___문">#REF!</definedName>
    <definedName name="부서">#REF!</definedName>
    <definedName name="부서교육계">#REF!</definedName>
    <definedName name="부서별예산">#REF!</definedName>
    <definedName name="부서코드">#REF!</definedName>
    <definedName name="분기실적">#REF!</definedName>
    <definedName name="비교">#REF!</definedName>
    <definedName name="비교111">#REF!</definedName>
    <definedName name="비교A">#REF!</definedName>
    <definedName name="ㅅㅅ">#REF!</definedName>
    <definedName name="사">#REF!</definedName>
    <definedName name="사업부문">#REF!</definedName>
    <definedName name="사업투자">#REF!</definedName>
    <definedName name="사업투자1">#REF!</definedName>
    <definedName name="삼">#REF!</definedName>
    <definedName name="상권" hidden="1">{"'7'!$B$15:$D$32"}</definedName>
    <definedName name="상품개발" hidden="1">{"'7'!$B$15:$D$32"}</definedName>
    <definedName name="새종합구도">#REF!</definedName>
    <definedName name="소">#REF!</definedName>
    <definedName name="소모실적10월">#REF!</definedName>
    <definedName name="소모실적11월">#REF!</definedName>
    <definedName name="소모실적12월">#REF!</definedName>
    <definedName name="소모실적1월">#REF!</definedName>
    <definedName name="소모실적2월">#REF!</definedName>
    <definedName name="소모실적3월">#REF!</definedName>
    <definedName name="손익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손익총괄표3" hidden="1">{"'7'!$B$15:$D$32"}</definedName>
    <definedName name="순서">#REF!</definedName>
    <definedName name="스티어">#REF!</definedName>
    <definedName name="시산표">#REF!</definedName>
    <definedName name="신촌sev" hidden="1">{#N/A,#N/A,FALSE,"보고서"}</definedName>
    <definedName name="실적">#REF!</definedName>
    <definedName name="실적누계">#REF!</definedName>
    <definedName name="ㅇ">#REF!</definedName>
    <definedName name="ㅇㄴㅇ" hidden="1">{"'7'!$B$15:$D$32"}</definedName>
    <definedName name="ㅇㄹㄴㄴㅇㄹㅇㄹ">#REF!</definedName>
    <definedName name="ㅇㄻㄴㅇㄻㄴ">#REF!</definedName>
    <definedName name="ㅇ허">#REF!</definedName>
    <definedName name="아">#REF!</definedName>
    <definedName name="아아">#REF!</definedName>
    <definedName name="아앙">#REF!</definedName>
    <definedName name="아ㅣㅇ">#REF!</definedName>
    <definedName name="아ㅣ아">#REF!</definedName>
    <definedName name="앙">#REF!</definedName>
    <definedName name="업무지시">#REF!</definedName>
    <definedName name="엉댜ㄷㅈ">#REF!</definedName>
    <definedName name="엉댜ㄷㅈ1">#N/A</definedName>
    <definedName name="영업통보">#REF!</definedName>
    <definedName name="예산집행2">#REF!</definedName>
    <definedName name="예산총괄시트설ONLY">#REF!</definedName>
    <definedName name="오">#REF!</definedName>
    <definedName name="오인원">#REF!</definedName>
    <definedName name="외__감">#REF!</definedName>
    <definedName name="외자견적" hidden="1">{TRUE,TRUE,-1.25,-15.5,484.5,300,FALSE,TRUE,TRUE,TRUE,0,2,#N/A,1,#N/A,4,18.7058823529412,1,FALSE,FALSE,3,TRUE,1,FALSE,100,"Swvu.nnn.","ACwvu.nnn.",1,FALSE,FALSE,0.5,0.5,1,1,1,"&amp;F","Page &amp;P",FALSE,FALSE,FALSE,TRUE,1,100,#N/A,#N/A,FALSE,FALSE,#N/A,#N/A,FALSE,FALSE}</definedName>
    <definedName name="요" hidden="1">{"'7'!$B$15:$D$32"}</definedName>
    <definedName name="요약1" hidden="1">{"'7'!$B$15:$D$32"}</definedName>
    <definedName name="요약2" hidden="1">{"'7'!$B$15:$D$32"}</definedName>
    <definedName name="우">#REF!</definedName>
    <definedName name="원">1</definedName>
    <definedName name="원가1">#REF!</definedName>
    <definedName name="원단위">#REF!</definedName>
    <definedName name="월_판매">#REF!</definedName>
    <definedName name="월합계">#REF!</definedName>
    <definedName name="을지">#REF!</definedName>
    <definedName name="의1">#REF!</definedName>
    <definedName name="의뢰">#REF!</definedName>
    <definedName name="이">#REF!</definedName>
    <definedName name="이동">#REF!</definedName>
    <definedName name="이쁘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인당월교육시간">#REF!</definedName>
    <definedName name="인원배치">#REF!</definedName>
    <definedName name="일반">#REF!</definedName>
    <definedName name="일정">#REF!</definedName>
    <definedName name="임시">#REF!</definedName>
    <definedName name="자료">#REF!</definedName>
    <definedName name="자산대장">#REF!</definedName>
    <definedName name="작년실적">#REF!</definedName>
    <definedName name="작년월실적">#REF!</definedName>
    <definedName name="장기">#REF!</definedName>
    <definedName name="장기투자.94.BB">#REF!</definedName>
    <definedName name="전">#REF!</definedName>
    <definedName name="전략1">#REF!</definedName>
    <definedName name="전문">#REF!</definedName>
    <definedName name="전자시">#REF!</definedName>
    <definedName name="전장">#REF!</definedName>
    <definedName name="전장DOM">#N/A</definedName>
    <definedName name="전체">#REF!</definedName>
    <definedName name="정치.AA">#REF!</definedName>
    <definedName name="정치문제">#REF!</definedName>
    <definedName name="정치설명">#REF!</definedName>
    <definedName name="제목">#REF!</definedName>
    <definedName name="제원">#REF!</definedName>
    <definedName name="제원종합" hidden="1">#REF!</definedName>
    <definedName name="제작cost">#REF!</definedName>
    <definedName name="제조원가">#REF!</definedName>
    <definedName name="조" hidden="1">{"'7'!$B$15:$D$32"}</definedName>
    <definedName name="조직">#REF!</definedName>
    <definedName name="조직1">#REF!</definedName>
    <definedName name="종합표">#REF!</definedName>
    <definedName name="주소">#REF!</definedName>
    <definedName name="주요문제점">#REF!</definedName>
    <definedName name="주요업무실적">#REF!</definedName>
    <definedName name="주택사업본부">#REF!</definedName>
    <definedName name="중">#REF!</definedName>
    <definedName name="중복.1">#REF!</definedName>
    <definedName name="중복.10">#REF!</definedName>
    <definedName name="중복.11">#REF!</definedName>
    <definedName name="중복.12">#REF!</definedName>
    <definedName name="중복.13">"?A*"</definedName>
    <definedName name="중복.14">#REF!</definedName>
    <definedName name="중복.15">#REF!</definedName>
    <definedName name="중복.17">#REF!</definedName>
    <definedName name="중복.18">#REF!</definedName>
    <definedName name="중복.19">#REF!</definedName>
    <definedName name="중복.20">#REF!</definedName>
    <definedName name="중복.21">#REF!</definedName>
    <definedName name="중복.22">#REF!</definedName>
    <definedName name="중복.23">#REF!</definedName>
    <definedName name="중복.24">#REF!</definedName>
    <definedName name="중복.4">#REF!</definedName>
    <definedName name="중복.5">#REF!</definedName>
    <definedName name="중복.8">#REF!</definedName>
    <definedName name="진출업체1">#REF!</definedName>
    <definedName name="차">#REF!</definedName>
    <definedName name="차종">#REF!</definedName>
    <definedName name="차체">#REF!</definedName>
    <definedName name="참석자현황2차">#REF!</definedName>
    <definedName name="참조">#REF!</definedName>
    <definedName name="철구사업본부">#REF!</definedName>
    <definedName name="첨부1">#REF!</definedName>
    <definedName name="첨부2">#REF!</definedName>
    <definedName name="첨부신상">#REF!</definedName>
    <definedName name="첨첨11">#REF!</definedName>
    <definedName name="체계화2">#REF!</definedName>
    <definedName name="총LIST">#REF!</definedName>
    <definedName name="총괄" hidden="1">{#N/A,#N/A,TRUE,"1호 과표세액";#N/A,#N/A,TRUE,"6호 첨부(익)";#N/A,#N/A,TRUE,"6-3호 퇴충";#N/A,#N/A,TRUE,"PL";#N/A,#N/A,TRUE,"BS";#N/A,#N/A,TRUE,"RE";#N/A,#N/A,TRUE,"표지"}</definedName>
    <definedName name="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최신본">#REF!</definedName>
    <definedName name="최종실적">#REF!</definedName>
    <definedName name="최진규">#REF!</definedName>
    <definedName name="추진계획">#REF!</definedName>
    <definedName name="출고실적2">#REF!</definedName>
    <definedName name="ㅋㅋ">#REF!</definedName>
    <definedName name="ㅋ후ㅊ">#REF!</definedName>
    <definedName name="코">#REF!</definedName>
    <definedName name="쿨링">#REF!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특장">#REF!</definedName>
    <definedName name="틀없애기">#N/A</definedName>
    <definedName name="파키스탄">#REF!</definedName>
    <definedName name="ㅎㅎ">#REF!</definedName>
    <definedName name="하">#REF!</definedName>
    <definedName name="합">#REF!</definedName>
    <definedName name="현지가">#REF!</definedName>
    <definedName name="현황">#REF!</definedName>
    <definedName name="협동회가입">#REF!</definedName>
    <definedName name="협전">#REF!</definedName>
    <definedName name="협조전">#REF!</definedName>
    <definedName name="호ㅓ">#REF!</definedName>
    <definedName name="호ㅓㅎㄹ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흵____R3_t">#REF!</definedName>
    <definedName name="ㅏ나앙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앙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ㅏㅏ" hidden="1">{"'7'!$B$15:$D$32"}</definedName>
    <definedName name="ㅏㅗ045352756">#REF!</definedName>
    <definedName name="ㅏㅗ269731580">#REF!</definedName>
    <definedName name="ㅏㅗ301948010">#REF!</definedName>
    <definedName name="ㅏㅗ353472649">#REF!</definedName>
    <definedName name="ㅏㅗ404834150">#REF!</definedName>
    <definedName name="ㅏㅗ677947699">#REF!</definedName>
    <definedName name="ㅏㅗ695115505">#REF!</definedName>
    <definedName name="ㅏㅗ709037899">#REF!</definedName>
    <definedName name="ㅏㅗ760723590">#REF!</definedName>
    <definedName name="ㅏㅗ774740099">#REF!</definedName>
    <definedName name="ㅏㅗ814490019">#REF!</definedName>
    <definedName name="ㅏㅗ829801618">#REF!</definedName>
    <definedName name="ㅏㅗ862619339">#REF!</definedName>
    <definedName name="ㅏㅗ910964309">#REF!</definedName>
    <definedName name="ㅏㅗ961953162">#REF!</definedName>
    <definedName name="ㅏㅗ980003236" hidden="1">#REF!</definedName>
    <definedName name="ㅓㅏㅣㅎ러ㅏㅣ">#REF!</definedName>
    <definedName name="ㅗ60">#REF!</definedName>
    <definedName name="ㅗ쇼">#REF!</definedName>
    <definedName name="ㅗ허ㅏ">#REF!</definedName>
    <definedName name="ㅗㅓ">#REF!</definedName>
    <definedName name="ㅠ">#REF!</definedName>
    <definedName name="ㅠㅠㅠㅠ">#N/A</definedName>
    <definedName name="ㅡㅡㅡㅡ" hidden="1">{"'7'!$B$15:$D$32"}</definedName>
    <definedName name="主要装備A">#REF!</definedName>
    <definedName name="主要装備B">#REF!</definedName>
    <definedName name="仕様マスター">#REF!</definedName>
    <definedName name="位置">#REF!</definedName>
    <definedName name="全車">#N/A</definedName>
    <definedName name="其他">#REF!</definedName>
    <definedName name="勝">#REF!</definedName>
    <definedName name="区分のﾘｽﾄ">#REF!</definedName>
    <definedName name="区分ﾘｽﾄ">#REF!</definedName>
    <definedName name="単位">#REF!</definedName>
    <definedName name="単価">#REF!</definedName>
    <definedName name="単価表">#N/A</definedName>
    <definedName name="単価表時期">#N/A</definedName>
    <definedName name="印刷">#REF!</definedName>
    <definedName name="印刷2">#REF!</definedName>
    <definedName name="印刷3">#REF!</definedName>
    <definedName name="印刷準備">#REF!</definedName>
    <definedName name="印刷準備0">#REF!</definedName>
    <definedName name="印刷準備11">#REF!</definedName>
    <definedName name="印刷準備2">#REF!</definedName>
    <definedName name="印刷準備3">#REF!</definedName>
    <definedName name="印刷準備4">#REF!</definedName>
    <definedName name="印刷準備5">#REF!</definedName>
    <definedName name="印刷準備6">#REF!</definedName>
    <definedName name="印刷準備7">#REF!</definedName>
    <definedName name="印刷準備8">#REF!</definedName>
    <definedName name="印刷準備9">#REF!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>#N/A</definedName>
    <definedName name="印範3">#N/A</definedName>
    <definedName name="印範4">#N/A</definedName>
    <definedName name="印範7">#N/A</definedName>
    <definedName name="周波数">#REF!</definedName>
    <definedName name="周波数２">#REF!</definedName>
    <definedName name="單位阡원_阡￥">#REF!</definedName>
    <definedName name="基準位置1">#REF!</definedName>
    <definedName name="基準位置2">#REF!</definedName>
    <definedName name="外作型費まとめ">#REF!</definedName>
    <definedName name="小">#REF!</definedName>
    <definedName name="工事">#REF!</definedName>
    <definedName name="平均値F">#REF!</definedName>
    <definedName name="平均値R">#REF!</definedName>
    <definedName name="折旧日1">#REF!</definedName>
    <definedName name="探测器及接口类部件GW">{"Client Name or Project Name"}</definedName>
    <definedName name="換算F">#REF!</definedName>
    <definedName name="換算R">#REF!</definedName>
    <definedName name="損益参考">#REF!</definedName>
    <definedName name="損益試算">#REF!</definedName>
    <definedName name="数量金额总账">#REF!</definedName>
    <definedName name="无税品种品合计划">#REF!</definedName>
    <definedName name="最後尾">#REF!</definedName>
    <definedName name="有">#REF!</definedName>
    <definedName name="本期交庫數量">"''177-168-224-540-50'!$G:$G"</definedName>
    <definedName name="標準車">#N/A</definedName>
    <definedName name="熱延板厚ｴｷｽﾄﾗ">#N/A</definedName>
    <definedName name="現代綜合商事經由分">#REF!</definedName>
    <definedName name="現法">#REF!</definedName>
    <definedName name="登録">#REF!</definedName>
    <definedName name="登録2">#REF!</definedName>
    <definedName name="登録3">#REF!</definedName>
    <definedName name="登録4">#REF!</definedName>
    <definedName name="直轄">#REF!</definedName>
    <definedName name="範囲1">#REF!</definedName>
    <definedName name="素重列番">#N/A</definedName>
    <definedName name="終了J">#REF!</definedName>
    <definedName name="終了S">#REF!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製重列番">#N/A</definedName>
    <definedName name="要因ｺｰﾄﾞ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解_任_">#REF!</definedName>
    <definedName name="計算範囲">#N/A</definedName>
    <definedName name="販売実績">#REF!</definedName>
    <definedName name="責任区">#REF!</definedName>
    <definedName name="選択">#REF!</definedName>
    <definedName name="金額">#REF!</definedName>
    <definedName name="鋼材費列番">#N/A</definedName>
    <definedName name="销售成本">#REF!</definedName>
    <definedName name="關係會社外上買入金明細書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1" i="1" l="1"/>
  <c r="K169" i="1"/>
  <c r="J169" i="1"/>
  <c r="I169" i="1"/>
  <c r="K168" i="1"/>
  <c r="J168" i="1"/>
  <c r="K130" i="1"/>
  <c r="G107" i="1"/>
  <c r="D107" i="1"/>
  <c r="D91" i="1"/>
  <c r="G91" i="1" s="1"/>
  <c r="AA83" i="1"/>
  <c r="Q73" i="1"/>
  <c r="N73" i="1"/>
  <c r="H73" i="1"/>
  <c r="P73" i="1" s="1"/>
  <c r="M71" i="1"/>
  <c r="L71" i="1"/>
  <c r="K71" i="1"/>
  <c r="J71" i="1"/>
  <c r="F71" i="1"/>
  <c r="E71" i="1"/>
  <c r="D71" i="1"/>
  <c r="Q70" i="1"/>
  <c r="P70" i="1"/>
  <c r="N70" i="1"/>
  <c r="H70" i="1"/>
  <c r="Q69" i="1"/>
  <c r="N69" i="1"/>
  <c r="H69" i="1"/>
  <c r="P69" i="1" s="1"/>
  <c r="Q68" i="1"/>
  <c r="P68" i="1"/>
  <c r="N68" i="1"/>
  <c r="H68" i="1"/>
  <c r="Q67" i="1"/>
  <c r="N67" i="1"/>
  <c r="H67" i="1"/>
  <c r="Q66" i="1"/>
  <c r="P66" i="1"/>
  <c r="N66" i="1"/>
  <c r="H66" i="1"/>
  <c r="Q65" i="1"/>
  <c r="N65" i="1"/>
  <c r="P65" i="1" s="1"/>
  <c r="Q64" i="1"/>
  <c r="N64" i="1"/>
  <c r="P64" i="1" s="1"/>
  <c r="H64" i="1"/>
  <c r="N61" i="1"/>
  <c r="P61" i="1" s="1"/>
  <c r="J61" i="1"/>
  <c r="Q60" i="1"/>
  <c r="N60" i="1"/>
  <c r="H60" i="1"/>
  <c r="P60" i="1" s="1"/>
  <c r="Q58" i="1"/>
  <c r="E58" i="1"/>
  <c r="M57" i="1"/>
  <c r="L57" i="1"/>
  <c r="N57" i="1" s="1"/>
  <c r="J57" i="1"/>
  <c r="G57" i="1"/>
  <c r="F57" i="1"/>
  <c r="D57" i="1"/>
  <c r="H57" i="1" s="1"/>
  <c r="M56" i="1"/>
  <c r="L56" i="1"/>
  <c r="N56" i="1" s="1"/>
  <c r="P56" i="1" s="1"/>
  <c r="J56" i="1"/>
  <c r="G56" i="1"/>
  <c r="F56" i="1"/>
  <c r="D56" i="1"/>
  <c r="H56" i="1" s="1"/>
  <c r="M55" i="1"/>
  <c r="N55" i="1" s="1"/>
  <c r="P55" i="1" s="1"/>
  <c r="L55" i="1"/>
  <c r="J55" i="1"/>
  <c r="G55" i="1"/>
  <c r="F55" i="1"/>
  <c r="D55" i="1"/>
  <c r="H55" i="1" s="1"/>
  <c r="N54" i="1"/>
  <c r="P54" i="1" s="1"/>
  <c r="M54" i="1"/>
  <c r="L54" i="1"/>
  <c r="J54" i="1"/>
  <c r="G54" i="1"/>
  <c r="F54" i="1"/>
  <c r="D54" i="1"/>
  <c r="H54" i="1" s="1"/>
  <c r="M53" i="1"/>
  <c r="L53" i="1"/>
  <c r="J53" i="1"/>
  <c r="N53" i="1" s="1"/>
  <c r="G53" i="1"/>
  <c r="F53" i="1"/>
  <c r="D53" i="1"/>
  <c r="D58" i="1" s="1"/>
  <c r="M52" i="1"/>
  <c r="L52" i="1"/>
  <c r="J52" i="1"/>
  <c r="N52" i="1" s="1"/>
  <c r="H52" i="1"/>
  <c r="P52" i="1" s="1"/>
  <c r="G52" i="1"/>
  <c r="F52" i="1"/>
  <c r="D52" i="1"/>
  <c r="M51" i="1"/>
  <c r="L51" i="1"/>
  <c r="L58" i="1" s="1"/>
  <c r="J51" i="1"/>
  <c r="N51" i="1" s="1"/>
  <c r="G51" i="1"/>
  <c r="H51" i="1" s="1"/>
  <c r="P51" i="1" s="1"/>
  <c r="F51" i="1"/>
  <c r="D51" i="1"/>
  <c r="M50" i="1"/>
  <c r="J50" i="1"/>
  <c r="N50" i="1" s="1"/>
  <c r="G50" i="1"/>
  <c r="H50" i="1" s="1"/>
  <c r="F50" i="1"/>
  <c r="F58" i="1" s="1"/>
  <c r="D50" i="1"/>
  <c r="H49" i="1"/>
  <c r="N46" i="1"/>
  <c r="P46" i="1" s="1"/>
  <c r="K46" i="1"/>
  <c r="J46" i="1"/>
  <c r="Q46" i="1" s="1"/>
  <c r="Q41" i="1"/>
  <c r="N41" i="1"/>
  <c r="H41" i="1"/>
  <c r="D97" i="1" s="1"/>
  <c r="G97" i="1" s="1"/>
  <c r="K38" i="1"/>
  <c r="G38" i="1"/>
  <c r="E38" i="1"/>
  <c r="N37" i="1"/>
  <c r="M37" i="1"/>
  <c r="L37" i="1"/>
  <c r="J37" i="1"/>
  <c r="G37" i="1"/>
  <c r="F37" i="1"/>
  <c r="D37" i="1"/>
  <c r="H37" i="1" s="1"/>
  <c r="D18" i="1" s="1"/>
  <c r="M36" i="1"/>
  <c r="L36" i="1"/>
  <c r="J36" i="1"/>
  <c r="N36" i="1" s="1"/>
  <c r="J17" i="1" s="1"/>
  <c r="N17" i="1" s="1"/>
  <c r="H36" i="1"/>
  <c r="P36" i="1" s="1"/>
  <c r="Q17" i="1" s="1"/>
  <c r="G36" i="1"/>
  <c r="F36" i="1"/>
  <c r="D36" i="1"/>
  <c r="Z35" i="1"/>
  <c r="N35" i="1"/>
  <c r="AA35" i="1" s="1"/>
  <c r="M35" i="1"/>
  <c r="L35" i="1"/>
  <c r="J35" i="1"/>
  <c r="G35" i="1"/>
  <c r="F35" i="1"/>
  <c r="D35" i="1"/>
  <c r="H35" i="1" s="1"/>
  <c r="D16" i="1" s="1"/>
  <c r="AA16" i="1" s="1"/>
  <c r="M34" i="1"/>
  <c r="L34" i="1"/>
  <c r="J34" i="1"/>
  <c r="H34" i="1"/>
  <c r="G34" i="1"/>
  <c r="F34" i="1"/>
  <c r="D34" i="1"/>
  <c r="Q34" i="1" s="1"/>
  <c r="Z33" i="1"/>
  <c r="P33" i="1"/>
  <c r="Q14" i="1" s="1"/>
  <c r="N33" i="1"/>
  <c r="M33" i="1"/>
  <c r="L33" i="1"/>
  <c r="J33" i="1"/>
  <c r="G33" i="1"/>
  <c r="F33" i="1"/>
  <c r="D33" i="1"/>
  <c r="H33" i="1" s="1"/>
  <c r="D14" i="1" s="1"/>
  <c r="H14" i="1" s="1"/>
  <c r="M32" i="1"/>
  <c r="L32" i="1"/>
  <c r="J32" i="1"/>
  <c r="N32" i="1" s="1"/>
  <c r="J13" i="1" s="1"/>
  <c r="N13" i="1" s="1"/>
  <c r="H32" i="1"/>
  <c r="P32" i="1" s="1"/>
  <c r="G32" i="1"/>
  <c r="F32" i="1"/>
  <c r="D32" i="1"/>
  <c r="Q32" i="1" s="1"/>
  <c r="Z31" i="1"/>
  <c r="AA31" i="1" s="1"/>
  <c r="M31" i="1"/>
  <c r="L31" i="1"/>
  <c r="K31" i="1"/>
  <c r="J31" i="1"/>
  <c r="J38" i="1" s="1"/>
  <c r="H31" i="1"/>
  <c r="D12" i="1" s="1"/>
  <c r="D20" i="1" s="1"/>
  <c r="G31" i="1"/>
  <c r="F31" i="1"/>
  <c r="D31" i="1"/>
  <c r="N27" i="1"/>
  <c r="P27" i="1" s="1"/>
  <c r="K27" i="1"/>
  <c r="J27" i="1"/>
  <c r="J26" i="1"/>
  <c r="H23" i="1"/>
  <c r="P23" i="1" s="1"/>
  <c r="D23" i="1"/>
  <c r="F23" i="1" s="1"/>
  <c r="AG20" i="1"/>
  <c r="R20" i="1"/>
  <c r="K20" i="1"/>
  <c r="G20" i="1"/>
  <c r="E20" i="1"/>
  <c r="N19" i="1"/>
  <c r="P19" i="1" s="1"/>
  <c r="S19" i="1" s="1"/>
  <c r="D19" i="1"/>
  <c r="Q19" i="1" s="1"/>
  <c r="AC18" i="1"/>
  <c r="M18" i="1"/>
  <c r="L18" i="1"/>
  <c r="G18" i="1"/>
  <c r="H18" i="1" s="1"/>
  <c r="F18" i="1"/>
  <c r="M17" i="1"/>
  <c r="L17" i="1"/>
  <c r="G17" i="1"/>
  <c r="F17" i="1"/>
  <c r="D17" i="1"/>
  <c r="M16" i="1"/>
  <c r="L16" i="1"/>
  <c r="H16" i="1"/>
  <c r="G16" i="1"/>
  <c r="F16" i="1"/>
  <c r="M15" i="1"/>
  <c r="L15" i="1"/>
  <c r="G15" i="1"/>
  <c r="F15" i="1"/>
  <c r="D15" i="1"/>
  <c r="H15" i="1" s="1"/>
  <c r="M14" i="1"/>
  <c r="M20" i="1" s="1"/>
  <c r="L14" i="1"/>
  <c r="N14" i="1" s="1"/>
  <c r="J14" i="1"/>
  <c r="G14" i="1"/>
  <c r="F14" i="1"/>
  <c r="Q13" i="1"/>
  <c r="M13" i="1"/>
  <c r="L13" i="1"/>
  <c r="G13" i="1"/>
  <c r="F13" i="1"/>
  <c r="F20" i="1" s="1"/>
  <c r="D13" i="1"/>
  <c r="H13" i="1" s="1"/>
  <c r="P13" i="1" s="1"/>
  <c r="S13" i="1" s="1"/>
  <c r="M12" i="1"/>
  <c r="L12" i="1"/>
  <c r="G12" i="1"/>
  <c r="F12" i="1"/>
  <c r="Q8" i="1"/>
  <c r="N8" i="1"/>
  <c r="P8" i="1" s="1"/>
  <c r="K8" i="1"/>
  <c r="J8" i="1"/>
  <c r="H8" i="1"/>
  <c r="P1" i="1"/>
  <c r="Z37" i="1" s="1"/>
  <c r="AA18" i="1" l="1"/>
  <c r="P14" i="1"/>
  <c r="S14" i="1" s="1"/>
  <c r="P50" i="1"/>
  <c r="Z23" i="1"/>
  <c r="L20" i="1"/>
  <c r="AC16" i="1" s="1"/>
  <c r="H12" i="1"/>
  <c r="AA14" i="1"/>
  <c r="AA37" i="1"/>
  <c r="J18" i="1"/>
  <c r="N18" i="1" s="1"/>
  <c r="P18" i="1" s="1"/>
  <c r="S18" i="1" s="1"/>
  <c r="P57" i="1"/>
  <c r="G58" i="1"/>
  <c r="P35" i="1"/>
  <c r="Q16" i="1" s="1"/>
  <c r="Q71" i="1"/>
  <c r="AA13" i="1"/>
  <c r="AA19" i="1"/>
  <c r="N58" i="1"/>
  <c r="D38" i="1"/>
  <c r="N31" i="1"/>
  <c r="Q36" i="1"/>
  <c r="Q37" i="1"/>
  <c r="M58" i="1"/>
  <c r="H38" i="1"/>
  <c r="H71" i="1"/>
  <c r="P67" i="1"/>
  <c r="P71" i="1" s="1"/>
  <c r="P37" i="1"/>
  <c r="Q18" i="1" s="1"/>
  <c r="AA15" i="1"/>
  <c r="S23" i="1"/>
  <c r="F38" i="1"/>
  <c r="P31" i="1"/>
  <c r="L38" i="1"/>
  <c r="J58" i="1"/>
  <c r="N71" i="1"/>
  <c r="H17" i="1"/>
  <c r="P17" i="1" s="1"/>
  <c r="S17" i="1" s="1"/>
  <c r="Q33" i="1"/>
  <c r="J16" i="1"/>
  <c r="N16" i="1" s="1"/>
  <c r="P16" i="1" s="1"/>
  <c r="S16" i="1" s="1"/>
  <c r="Q35" i="1"/>
  <c r="Z36" i="1"/>
  <c r="Z38" i="1" s="1"/>
  <c r="Z34" i="1"/>
  <c r="Z32" i="1"/>
  <c r="AA32" i="1" s="1"/>
  <c r="Q31" i="1"/>
  <c r="M38" i="1"/>
  <c r="AA33" i="1"/>
  <c r="N34" i="1"/>
  <c r="H53" i="1"/>
  <c r="P53" i="1" s="1"/>
  <c r="P41" i="1"/>
  <c r="Q23" i="1" s="1"/>
  <c r="J15" i="1" l="1"/>
  <c r="N15" i="1" s="1"/>
  <c r="P15" i="1" s="1"/>
  <c r="S15" i="1" s="1"/>
  <c r="AA34" i="1"/>
  <c r="P34" i="1"/>
  <c r="Q15" i="1" s="1"/>
  <c r="H58" i="1"/>
  <c r="AA36" i="1"/>
  <c r="P58" i="1"/>
  <c r="P38" i="1"/>
  <c r="R38" i="1" s="1"/>
  <c r="Q12" i="1"/>
  <c r="Q20" i="1" s="1"/>
  <c r="Q38" i="1"/>
  <c r="H20" i="1"/>
  <c r="AA20" i="1" s="1"/>
  <c r="AA12" i="1"/>
  <c r="AA17" i="1"/>
  <c r="N38" i="1"/>
  <c r="AA82" i="1" s="1"/>
  <c r="AA84" i="1" s="1"/>
  <c r="J12" i="1"/>
  <c r="J20" i="1" l="1"/>
  <c r="N12" i="1"/>
  <c r="AA38" i="1"/>
  <c r="N20" i="1" l="1"/>
  <c r="P12" i="1"/>
  <c r="S12" i="1" l="1"/>
  <c r="S20" i="1" s="1"/>
  <c r="P20" i="1"/>
  <c r="Z20" i="1"/>
  <c r="AH20" i="1" l="1"/>
  <c r="R25" i="1"/>
</calcChain>
</file>

<file path=xl/sharedStrings.xml><?xml version="1.0" encoding="utf-8"?>
<sst xmlns="http://schemas.openxmlformats.org/spreadsheetml/2006/main" count="146" uniqueCount="72">
  <si>
    <t>Property, Plant and Equipment and Capital work-in progress</t>
  </si>
  <si>
    <t>Gross block</t>
  </si>
  <si>
    <t>Gross Block</t>
  </si>
  <si>
    <t>Accumulated Depreciation</t>
  </si>
  <si>
    <t>Net block</t>
  </si>
  <si>
    <t xml:space="preserve"> Notes</t>
  </si>
  <si>
    <t>As at 
1 April 2023</t>
  </si>
  <si>
    <t>Acquisition through Business Combination 
Refer Note 34</t>
  </si>
  <si>
    <t>Additions</t>
  </si>
  <si>
    <t>Deductions</t>
  </si>
  <si>
    <t>For the year</t>
  </si>
  <si>
    <t xml:space="preserve"> As at
30 September 2023 </t>
  </si>
  <si>
    <t>Owned assets</t>
  </si>
  <si>
    <t>Property, Plant and Equipment</t>
  </si>
  <si>
    <t>Land</t>
  </si>
  <si>
    <t>Building-Factory</t>
  </si>
  <si>
    <t>Building-Others</t>
  </si>
  <si>
    <t xml:space="preserve">Plant and machinery </t>
  </si>
  <si>
    <t>Furniture and fixtures</t>
  </si>
  <si>
    <t>Office Equipment</t>
  </si>
  <si>
    <t>Computers</t>
  </si>
  <si>
    <t>Vehicle</t>
  </si>
  <si>
    <t xml:space="preserve">Total </t>
  </si>
  <si>
    <t>Capital work-in progress</t>
  </si>
  <si>
    <t>Capital work-in-progress</t>
  </si>
  <si>
    <t>As at 
1 April 2022</t>
  </si>
  <si>
    <t>As at
31 March 2023</t>
  </si>
  <si>
    <t>As at
1 April 2022</t>
  </si>
  <si>
    <t>Plant &amp; Machinery</t>
  </si>
  <si>
    <t>Furniture &amp; Fixture</t>
  </si>
  <si>
    <t>Office Equipments</t>
  </si>
  <si>
    <t>Computors</t>
  </si>
  <si>
    <t>Assets under constru</t>
  </si>
  <si>
    <t>Depreciation</t>
  </si>
  <si>
    <t>As at 
1st April 2021</t>
  </si>
  <si>
    <t>As at 
31 March 2022</t>
  </si>
  <si>
    <t>Vehicles</t>
  </si>
  <si>
    <t>As at 
1 April 2021</t>
  </si>
  <si>
    <t>Acquisition through Business Combination</t>
  </si>
  <si>
    <t>Additions/ Adjustments</t>
  </si>
  <si>
    <t>As at
31 March 2022</t>
  </si>
  <si>
    <t>Deductions/ Adjustments</t>
  </si>
  <si>
    <t>As at
01 April 2021</t>
  </si>
  <si>
    <t>Buildings</t>
  </si>
  <si>
    <t>Plant and Machinery</t>
  </si>
  <si>
    <t>Furniture and Fixtures</t>
  </si>
  <si>
    <t>Notes:</t>
  </si>
  <si>
    <t>a) The Company has availed loans from banks against security of the fixed assets (i.e. property, plant and equipment), refer note 52.</t>
  </si>
  <si>
    <t xml:space="preserve"> b) The Company has not revalued its property, plant and equipment during the current year.</t>
  </si>
  <si>
    <t>c) For capital commitment with regards to property plant and equipment, refer note 54.</t>
  </si>
  <si>
    <t>Property, plant and equipment pledged as security</t>
  </si>
  <si>
    <t>Refer Note 48 for information on property, plant and equipment pledged as security by the Company</t>
  </si>
  <si>
    <t xml:space="preserve">Capital work-in progress  (CWIP) </t>
  </si>
  <si>
    <t>Capital-work-in progress ageing schedule</t>
  </si>
  <si>
    <t>As at 31 December 2023</t>
  </si>
  <si>
    <t>As at 31 March 2024</t>
  </si>
  <si>
    <t>Particulars</t>
  </si>
  <si>
    <t>Amount in CWIP for a period of</t>
  </si>
  <si>
    <t>Total</t>
  </si>
  <si>
    <t>Less than 1 year</t>
  </si>
  <si>
    <t>1-2 years</t>
  </si>
  <si>
    <t>2-3
years</t>
  </si>
  <si>
    <t>More than 3 years</t>
  </si>
  <si>
    <t>Projects in progress</t>
  </si>
  <si>
    <t>Projects temporarily suspended</t>
  </si>
  <si>
    <t>As at 31 March 2023</t>
  </si>
  <si>
    <t>As at 1 April 2022</t>
  </si>
  <si>
    <t>There are no projects under Capital Work in progress where the completion is overdue or has exceeded its cost compared to its original plan.</t>
  </si>
  <si>
    <t>(p)</t>
  </si>
  <si>
    <t>Dummy Entity</t>
  </si>
  <si>
    <t>Notes</t>
  </si>
  <si>
    <t>Amout in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</si>
</sst>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#,##0.00_);\(#,##0.00\);#,##0.00_);@_)"/>
    <numFmt numFmtId="167" formatCode="_(* #,##0.00_);_(* \(#,##0.00\);_(* &quot;-&quot;??_);_(@_)"/>
    <numFmt numFmtId="168" formatCode="_(* #,##0,_);_(* \(#,##0,\);_(* &quot;-&quot;??_);_(@_)"/>
    <numFmt numFmtId="169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sz val="10"/>
      <name val="Arial"/>
      <family val="2"/>
    </font>
    <font>
      <sz val="10"/>
      <color theme="0"/>
      <name val="Arial"/>
      <family val="2"/>
    </font>
    <font>
      <sz val="9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</cellStyleXfs>
  <cellXfs count="138">
    <xf numFmtId="0" fontId="0" fillId="0" borderId="0" xfId="0"/>
    <xf numFmtId="0" fontId="2" fillId="0" borderId="0" xfId="0" applyFont="1"/>
    <xf numFmtId="43" fontId="3" fillId="0" borderId="0" xfId="0" applyNumberFormat="1" applyFont="1"/>
    <xf numFmtId="43" fontId="3" fillId="0" borderId="0" xfId="1" applyFont="1"/>
    <xf numFmtId="43" fontId="4" fillId="0" borderId="0" xfId="1" applyFont="1" applyFill="1"/>
    <xf numFmtId="0" fontId="3" fillId="0" borderId="0" xfId="0" applyFont="1"/>
    <xf numFmtId="0" fontId="2" fillId="0" borderId="0" xfId="0" applyFont="1" applyAlignment="1">
      <alignment horizontal="left"/>
    </xf>
    <xf numFmtId="43" fontId="5" fillId="0" borderId="0" xfId="0" applyNumberFormat="1" applyFont="1" applyAlignment="1">
      <alignment horizontal="left"/>
    </xf>
    <xf numFmtId="43" fontId="5" fillId="0" borderId="0" xfId="1" applyFont="1" applyFill="1" applyBorder="1" applyAlignment="1" applyProtection="1"/>
    <xf numFmtId="0" fontId="6" fillId="0" borderId="0" xfId="0" applyFont="1"/>
    <xf numFmtId="0" fontId="7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3" fontId="5" fillId="0" borderId="0" xfId="0" applyNumberFormat="1" applyFont="1"/>
    <xf numFmtId="43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 wrapText="1"/>
    </xf>
    <xf numFmtId="43" fontId="8" fillId="0" borderId="0" xfId="0" applyNumberFormat="1" applyFont="1"/>
    <xf numFmtId="43" fontId="5" fillId="0" borderId="1" xfId="1" applyFont="1" applyFill="1" applyBorder="1" applyAlignment="1" applyProtection="1">
      <alignment horizontal="center"/>
    </xf>
    <xf numFmtId="43" fontId="5" fillId="0" borderId="0" xfId="1" applyFont="1" applyFill="1" applyBorder="1" applyAlignment="1" applyProtection="1">
      <alignment horizontal="center"/>
    </xf>
    <xf numFmtId="164" fontId="5" fillId="0" borderId="0" xfId="1" applyNumberFormat="1" applyFont="1" applyFill="1" applyBorder="1" applyAlignment="1" applyProtection="1">
      <alignment horizontal="center"/>
    </xf>
    <xf numFmtId="0" fontId="2" fillId="0" borderId="0" xfId="0" applyFont="1" applyAlignment="1">
      <alignment horizontal="center" vertical="center"/>
    </xf>
    <xf numFmtId="43" fontId="5" fillId="0" borderId="0" xfId="0" applyNumberFormat="1" applyFont="1" applyAlignment="1">
      <alignment horizontal="left" vertical="center"/>
    </xf>
    <xf numFmtId="43" fontId="5" fillId="0" borderId="2" xfId="1" applyFont="1" applyBorder="1" applyAlignment="1">
      <alignment horizontal="center" vertical="center"/>
    </xf>
    <xf numFmtId="43" fontId="5" fillId="0" borderId="2" xfId="1" applyFont="1" applyFill="1" applyBorder="1" applyAlignment="1" applyProtection="1">
      <alignment horizontal="center" vertical="center" wrapText="1"/>
    </xf>
    <xf numFmtId="43" fontId="5" fillId="0" borderId="0" xfId="1" applyFont="1" applyFill="1" applyBorder="1" applyAlignment="1" applyProtection="1">
      <alignment horizontal="center" vertical="center"/>
    </xf>
    <xf numFmtId="43" fontId="5" fillId="0" borderId="2" xfId="1" applyFont="1" applyBorder="1" applyAlignment="1">
      <alignment horizontal="center" vertical="center" wrapText="1"/>
    </xf>
    <xf numFmtId="164" fontId="5" fillId="0" borderId="0" xfId="1" applyNumberFormat="1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vertical="center"/>
    </xf>
    <xf numFmtId="43" fontId="5" fillId="0" borderId="0" xfId="1" applyFont="1" applyAlignment="1">
      <alignment horizontal="center" vertical="center"/>
    </xf>
    <xf numFmtId="43" fontId="5" fillId="0" borderId="3" xfId="1" applyFont="1" applyBorder="1" applyAlignment="1">
      <alignment horizontal="center" vertical="center"/>
    </xf>
    <xf numFmtId="43" fontId="5" fillId="0" borderId="0" xfId="0" applyNumberFormat="1" applyFont="1" applyAlignment="1">
      <alignment wrapText="1"/>
    </xf>
    <xf numFmtId="43" fontId="5" fillId="0" borderId="0" xfId="1" applyFont="1" applyAlignment="1">
      <alignment horizontal="center" vertical="top" wrapText="1"/>
    </xf>
    <xf numFmtId="43" fontId="3" fillId="0" borderId="0" xfId="1" applyFont="1" applyFill="1" applyBorder="1"/>
    <xf numFmtId="0" fontId="9" fillId="0" borderId="0" xfId="0" applyFont="1" applyAlignment="1">
      <alignment wrapText="1"/>
    </xf>
    <xf numFmtId="165" fontId="5" fillId="0" borderId="0" xfId="1" applyNumberFormat="1" applyFont="1" applyAlignment="1">
      <alignment horizontal="center" vertical="top" wrapText="1"/>
    </xf>
    <xf numFmtId="43" fontId="3" fillId="0" borderId="4" xfId="1" applyFont="1" applyBorder="1" applyAlignment="1">
      <alignment horizontal="left"/>
    </xf>
    <xf numFmtId="43" fontId="3" fillId="0" borderId="0" xfId="0" applyNumberFormat="1" applyFont="1" applyAlignment="1">
      <alignment wrapText="1"/>
    </xf>
    <xf numFmtId="43" fontId="3" fillId="0" borderId="0" xfId="1" applyFont="1" applyFill="1"/>
    <xf numFmtId="43" fontId="6" fillId="0" borderId="0" xfId="1" applyFont="1"/>
    <xf numFmtId="3" fontId="10" fillId="0" borderId="0" xfId="0" applyNumberFormat="1" applyFont="1"/>
    <xf numFmtId="165" fontId="3" fillId="0" borderId="0" xfId="1" applyNumberFormat="1" applyFont="1" applyFill="1" applyBorder="1"/>
    <xf numFmtId="165" fontId="3" fillId="0" borderId="0" xfId="0" applyNumberFormat="1" applyFont="1"/>
    <xf numFmtId="43" fontId="3" fillId="0" borderId="0" xfId="0" applyNumberFormat="1" applyFont="1" applyAlignment="1">
      <alignment horizontal="left" vertical="top"/>
    </xf>
    <xf numFmtId="0" fontId="10" fillId="0" borderId="0" xfId="0" applyFont="1"/>
    <xf numFmtId="43" fontId="3" fillId="0" borderId="0" xfId="1" applyFont="1" applyFill="1" applyAlignment="1">
      <alignment vertical="top"/>
    </xf>
    <xf numFmtId="43" fontId="3" fillId="0" borderId="0" xfId="1" applyFont="1" applyFill="1" applyBorder="1" applyAlignment="1">
      <alignment vertical="top"/>
    </xf>
    <xf numFmtId="165" fontId="3" fillId="0" borderId="0" xfId="1" applyNumberFormat="1" applyFont="1"/>
    <xf numFmtId="43" fontId="3" fillId="0" borderId="0" xfId="1" applyFont="1" applyBorder="1" applyAlignment="1">
      <alignment vertical="top"/>
    </xf>
    <xf numFmtId="43" fontId="3" fillId="0" borderId="1" xfId="1" applyFont="1" applyFill="1" applyBorder="1"/>
    <xf numFmtId="43" fontId="5" fillId="0" borderId="5" xfId="1" applyFont="1" applyFill="1" applyBorder="1"/>
    <xf numFmtId="43" fontId="5" fillId="0" borderId="0" xfId="1" applyFont="1" applyFill="1" applyBorder="1"/>
    <xf numFmtId="3" fontId="9" fillId="0" borderId="5" xfId="0" applyNumberFormat="1" applyFont="1" applyBorder="1"/>
    <xf numFmtId="165" fontId="5" fillId="0" borderId="0" xfId="1" applyNumberFormat="1" applyFont="1" applyFill="1" applyBorder="1"/>
    <xf numFmtId="165" fontId="5" fillId="0" borderId="5" xfId="1" applyNumberFormat="1" applyFont="1" applyFill="1" applyBorder="1"/>
    <xf numFmtId="0" fontId="9" fillId="0" borderId="0" xfId="0" applyFont="1"/>
    <xf numFmtId="43" fontId="2" fillId="0" borderId="0" xfId="0" applyNumberFormat="1" applyFont="1"/>
    <xf numFmtId="43" fontId="5" fillId="0" borderId="0" xfId="1" applyFont="1" applyFill="1"/>
    <xf numFmtId="3" fontId="9" fillId="0" borderId="0" xfId="0" applyNumberFormat="1" applyFont="1"/>
    <xf numFmtId="0" fontId="3" fillId="0" borderId="4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43" fontId="5" fillId="0" borderId="2" xfId="1" quotePrefix="1" applyFont="1" applyFill="1" applyBorder="1" applyAlignment="1" applyProtection="1">
      <alignment horizontal="center" vertical="center" wrapText="1"/>
    </xf>
    <xf numFmtId="165" fontId="4" fillId="0" borderId="0" xfId="1" applyNumberFormat="1" applyFont="1" applyBorder="1"/>
    <xf numFmtId="0" fontId="12" fillId="0" borderId="0" xfId="3" applyFont="1"/>
    <xf numFmtId="10" fontId="3" fillId="0" borderId="0" xfId="2" applyNumberFormat="1" applyFont="1"/>
    <xf numFmtId="0" fontId="4" fillId="0" borderId="0" xfId="0" applyFont="1" applyAlignment="1">
      <alignment horizontal="center" vertical="top"/>
    </xf>
    <xf numFmtId="43" fontId="3" fillId="0" borderId="0" xfId="1" applyFont="1" applyAlignment="1">
      <alignment vertical="top"/>
    </xf>
    <xf numFmtId="165" fontId="3" fillId="0" borderId="0" xfId="1" applyNumberFormat="1" applyFont="1" applyFill="1" applyBorder="1" applyAlignment="1">
      <alignment vertical="top"/>
    </xf>
    <xf numFmtId="0" fontId="3" fillId="0" borderId="0" xfId="0" applyFont="1" applyAlignment="1">
      <alignment vertical="top"/>
    </xf>
    <xf numFmtId="166" fontId="6" fillId="0" borderId="0" xfId="0" applyNumberFormat="1" applyFont="1"/>
    <xf numFmtId="166" fontId="5" fillId="0" borderId="5" xfId="1" applyNumberFormat="1" applyFont="1" applyFill="1" applyBorder="1"/>
    <xf numFmtId="43" fontId="3" fillId="0" borderId="0" xfId="1" applyFont="1" applyBorder="1"/>
    <xf numFmtId="0" fontId="7" fillId="0" borderId="0" xfId="0" applyFont="1" applyAlignment="1">
      <alignment horizontal="center"/>
    </xf>
    <xf numFmtId="43" fontId="5" fillId="0" borderId="0" xfId="1" applyFont="1"/>
    <xf numFmtId="165" fontId="5" fillId="0" borderId="0" xfId="1" applyNumberFormat="1" applyFont="1"/>
    <xf numFmtId="167" fontId="5" fillId="0" borderId="0" xfId="1" applyNumberFormat="1" applyFont="1" applyFill="1" applyBorder="1" applyAlignment="1" applyProtection="1"/>
    <xf numFmtId="165" fontId="5" fillId="2" borderId="0" xfId="1" applyNumberFormat="1" applyFont="1" applyFill="1"/>
    <xf numFmtId="165" fontId="3" fillId="2" borderId="0" xfId="0" applyNumberFormat="1" applyFont="1" applyFill="1"/>
    <xf numFmtId="0" fontId="3" fillId="2" borderId="0" xfId="0" applyFont="1" applyFill="1"/>
    <xf numFmtId="43" fontId="5" fillId="0" borderId="2" xfId="1" applyFont="1" applyFill="1" applyBorder="1" applyAlignment="1">
      <alignment horizontal="center" vertical="center"/>
    </xf>
    <xf numFmtId="43" fontId="5" fillId="0" borderId="0" xfId="1" applyFont="1" applyFill="1" applyAlignment="1">
      <alignment horizontal="center" vertical="center"/>
    </xf>
    <xf numFmtId="43" fontId="5" fillId="0" borderId="3" xfId="1" applyFont="1" applyFill="1" applyBorder="1" applyAlignment="1">
      <alignment horizontal="center" vertical="center"/>
    </xf>
    <xf numFmtId="43" fontId="5" fillId="0" borderId="0" xfId="1" applyFont="1" applyFill="1" applyAlignment="1">
      <alignment horizontal="center" vertical="top" wrapText="1"/>
    </xf>
    <xf numFmtId="43" fontId="0" fillId="0" borderId="0" xfId="1" applyFont="1" applyAlignment="1">
      <alignment horizontal="center" vertical="center"/>
    </xf>
    <xf numFmtId="43" fontId="0" fillId="0" borderId="0" xfId="1" applyFont="1" applyAlignment="1">
      <alignment horizontal="center"/>
    </xf>
    <xf numFmtId="43" fontId="3" fillId="0" borderId="0" xfId="1" applyFont="1" applyFill="1" applyBorder="1" applyAlignment="1">
      <alignment horizontal="center"/>
    </xf>
    <xf numFmtId="4" fontId="0" fillId="0" borderId="0" xfId="0" applyNumberFormat="1"/>
    <xf numFmtId="43" fontId="0" fillId="0" borderId="0" xfId="1" applyFont="1"/>
    <xf numFmtId="2" fontId="3" fillId="0" borderId="0" xfId="1" applyNumberFormat="1" applyFont="1" applyAlignment="1">
      <alignment horizontal="center"/>
    </xf>
    <xf numFmtId="43" fontId="5" fillId="0" borderId="3" xfId="1" quotePrefix="1" applyFont="1" applyFill="1" applyBorder="1" applyAlignment="1" applyProtection="1">
      <alignment horizontal="center" vertical="center" wrapText="1"/>
    </xf>
    <xf numFmtId="43" fontId="5" fillId="0" borderId="3" xfId="1" applyFont="1" applyFill="1" applyBorder="1" applyAlignment="1" applyProtection="1">
      <alignment horizontal="center" vertical="center" wrapText="1"/>
    </xf>
    <xf numFmtId="43" fontId="5" fillId="0" borderId="3" xfId="1" applyFont="1" applyFill="1" applyBorder="1" applyAlignment="1" applyProtection="1">
      <alignment horizontal="center" vertical="center"/>
    </xf>
    <xf numFmtId="43" fontId="5" fillId="0" borderId="3" xfId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43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168" fontId="3" fillId="0" borderId="0" xfId="1" applyNumberFormat="1" applyFont="1" applyFill="1" applyBorder="1"/>
    <xf numFmtId="43" fontId="3" fillId="0" borderId="0" xfId="0" applyNumberFormat="1" applyFont="1" applyAlignment="1">
      <alignment horizontal="left" wrapText="1"/>
    </xf>
    <xf numFmtId="43" fontId="3" fillId="0" borderId="0" xfId="0" applyNumberFormat="1" applyFont="1" applyAlignment="1">
      <alignment horizontal="left" vertical="top" wrapText="1"/>
    </xf>
    <xf numFmtId="43" fontId="3" fillId="0" borderId="0" xfId="0" applyNumberFormat="1" applyFont="1" applyAlignment="1">
      <alignment horizontal="left"/>
    </xf>
    <xf numFmtId="43" fontId="6" fillId="0" borderId="0" xfId="0" applyNumberFormat="1" applyFont="1"/>
    <xf numFmtId="43" fontId="3" fillId="0" borderId="1" xfId="1" applyFont="1" applyBorder="1"/>
    <xf numFmtId="169" fontId="2" fillId="0" borderId="0" xfId="0" applyNumberFormat="1" applyFont="1" applyAlignment="1">
      <alignment horizontal="center" vertical="top" wrapText="1"/>
    </xf>
    <xf numFmtId="43" fontId="5" fillId="0" borderId="0" xfId="0" applyNumberFormat="1" applyFont="1" applyAlignment="1">
      <alignment horizontal="left" vertical="top"/>
    </xf>
    <xf numFmtId="43" fontId="3" fillId="0" borderId="0" xfId="1" applyFont="1" applyFill="1" applyAlignment="1">
      <alignment horizontal="justify" vertical="top" wrapText="1"/>
    </xf>
    <xf numFmtId="43" fontId="3" fillId="0" borderId="0" xfId="0" applyNumberFormat="1" applyFont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 applyAlignment="1">
      <alignment horizontal="center"/>
    </xf>
    <xf numFmtId="43" fontId="5" fillId="0" borderId="0" xfId="0" applyNumberFormat="1" applyFont="1" applyAlignment="1">
      <alignment horizontal="left" vertical="top" wrapText="1"/>
    </xf>
    <xf numFmtId="43" fontId="13" fillId="0" borderId="0" xfId="0" applyNumberFormat="1" applyFont="1" applyAlignment="1">
      <alignment vertical="center" wrapText="1"/>
    </xf>
    <xf numFmtId="43" fontId="5" fillId="0" borderId="0" xfId="0" applyNumberFormat="1" applyFont="1" applyAlignment="1">
      <alignment horizontal="left" wrapText="1"/>
    </xf>
    <xf numFmtId="43" fontId="5" fillId="0" borderId="4" xfId="0" applyNumberFormat="1" applyFont="1" applyBorder="1" applyAlignment="1">
      <alignment horizontal="center" vertical="top"/>
    </xf>
    <xf numFmtId="43" fontId="14" fillId="0" borderId="4" xfId="0" applyNumberFormat="1" applyFont="1" applyBorder="1" applyAlignment="1">
      <alignment horizontal="center" vertical="top"/>
    </xf>
    <xf numFmtId="43" fontId="3" fillId="0" borderId="4" xfId="0" applyNumberFormat="1" applyFont="1" applyBorder="1" applyAlignment="1">
      <alignment vertical="top" wrapText="1"/>
    </xf>
    <xf numFmtId="43" fontId="13" fillId="0" borderId="4" xfId="1" applyFont="1" applyFill="1" applyBorder="1" applyAlignment="1">
      <alignment vertical="top" wrapText="1"/>
    </xf>
    <xf numFmtId="43" fontId="13" fillId="0" borderId="4" xfId="1" applyFont="1" applyFill="1" applyBorder="1" applyAlignment="1">
      <alignment wrapText="1"/>
    </xf>
    <xf numFmtId="43" fontId="3" fillId="0" borderId="0" xfId="0" applyNumberFormat="1" applyFont="1" applyAlignment="1">
      <alignment vertical="top" wrapText="1"/>
    </xf>
    <xf numFmtId="43" fontId="13" fillId="0" borderId="0" xfId="1" applyFont="1" applyFill="1" applyBorder="1" applyAlignment="1">
      <alignment vertical="top" wrapText="1"/>
    </xf>
    <xf numFmtId="43" fontId="13" fillId="0" borderId="0" xfId="1" applyFont="1" applyFill="1" applyAlignment="1">
      <alignment vertical="top" wrapText="1"/>
    </xf>
    <xf numFmtId="43" fontId="5" fillId="0" borderId="6" xfId="0" applyNumberFormat="1" applyFont="1" applyBorder="1" applyAlignment="1">
      <alignment horizontal="center" vertical="center" wrapText="1"/>
    </xf>
    <xf numFmtId="43" fontId="5" fillId="0" borderId="4" xfId="0" applyNumberFormat="1" applyFont="1" applyBorder="1" applyAlignment="1">
      <alignment horizontal="center" vertical="top" wrapText="1"/>
    </xf>
    <xf numFmtId="43" fontId="5" fillId="0" borderId="6" xfId="0" applyNumberFormat="1" applyFont="1" applyBorder="1" applyAlignment="1">
      <alignment horizontal="center" vertical="center"/>
    </xf>
    <xf numFmtId="43" fontId="5" fillId="0" borderId="2" xfId="1" applyFont="1" applyFill="1" applyBorder="1" applyAlignment="1" applyProtection="1">
      <alignment horizontal="center" vertical="center" wrapText="1"/>
    </xf>
    <xf numFmtId="43" fontId="5" fillId="0" borderId="0" xfId="0" applyNumberFormat="1" applyFont="1" applyAlignment="1">
      <alignment horizontal="left" vertical="top" wrapText="1"/>
    </xf>
    <xf numFmtId="43" fontId="5" fillId="0" borderId="0" xfId="0" applyNumberFormat="1" applyFont="1" applyAlignment="1">
      <alignment horizontal="left" wrapText="1"/>
    </xf>
    <xf numFmtId="43" fontId="5" fillId="0" borderId="1" xfId="1" applyFont="1" applyFill="1" applyBorder="1" applyAlignment="1" applyProtection="1">
      <alignment horizontal="center" vertical="center" wrapText="1"/>
    </xf>
    <xf numFmtId="43" fontId="5" fillId="0" borderId="2" xfId="1" applyFont="1" applyFill="1" applyBorder="1" applyAlignment="1">
      <alignment horizontal="center" vertical="center" wrapText="1"/>
    </xf>
    <xf numFmtId="43" fontId="5" fillId="0" borderId="1" xfId="1" applyFont="1" applyFill="1" applyBorder="1" applyAlignment="1">
      <alignment horizontal="center" vertical="center" wrapText="1"/>
    </xf>
    <xf numFmtId="43" fontId="5" fillId="0" borderId="2" xfId="1" quotePrefix="1" applyFont="1" applyFill="1" applyBorder="1" applyAlignment="1" applyProtection="1">
      <alignment horizontal="center" vertical="center" wrapText="1"/>
    </xf>
    <xf numFmtId="43" fontId="5" fillId="0" borderId="1" xfId="1" quotePrefix="1" applyFont="1" applyFill="1" applyBorder="1" applyAlignment="1" applyProtection="1">
      <alignment horizontal="center" vertical="center" wrapText="1"/>
    </xf>
    <xf numFmtId="43" fontId="5" fillId="0" borderId="2" xfId="1" applyFont="1" applyBorder="1" applyAlignment="1">
      <alignment horizontal="center" vertical="center" wrapText="1"/>
    </xf>
    <xf numFmtId="43" fontId="5" fillId="0" borderId="1" xfId="1" applyFont="1" applyBorder="1" applyAlignment="1">
      <alignment horizontal="center" vertical="center" wrapText="1"/>
    </xf>
    <xf numFmtId="43" fontId="5" fillId="0" borderId="1" xfId="1" applyFont="1" applyFill="1" applyBorder="1" applyAlignment="1" applyProtection="1">
      <alignment horizontal="center"/>
    </xf>
    <xf numFmtId="0" fontId="9" fillId="0" borderId="2" xfId="0" applyFont="1" applyBorder="1" applyAlignment="1">
      <alignment wrapText="1"/>
    </xf>
    <xf numFmtId="43" fontId="5" fillId="0" borderId="1" xfId="1" applyFont="1" applyBorder="1" applyAlignment="1">
      <alignment horizontal="center"/>
    </xf>
    <xf numFmtId="43" fontId="5" fillId="0" borderId="2" xfId="1" quotePrefix="1" applyFont="1" applyFill="1" applyBorder="1" applyAlignment="1">
      <alignment horizontal="center" vertical="center" wrapText="1"/>
    </xf>
    <xf numFmtId="43" fontId="5" fillId="0" borderId="1" xfId="1" quotePrefix="1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1" xfId="3" xr:uid="{35EA655C-E6E9-4769-B915-03235AF3869C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uniqus-my.sharepoint.com/personal/vigneshiyer_uniqus_com/Documents/Reporting%20UniVerse%20documents/Consolidation%20UAT%20Testing/Action%20items/FS/5/Leafiniti_draft%20Ind%20AS%20Standalone%20Financial%20Statements%20Mar%2024%20V5%20(005).xlsx" TargetMode="External"/><Relationship Id="rId2" Type="http://schemas.microsoft.com/office/2019/04/relationships/externalLinkLongPath" Target="https://uniqus-my.sharepoint.com/personal/vigneshiyer_uniqus_com/Documents/Reporting%20UniVerse%20documents/Consolidation%20UAT%20Testing/Action%20items/FS/5/Leafiniti_draft%20Ind%20AS%20Standalone%20Financial%20Statements%20Mar%2024%20V5%20(005).xlsx?FAEDDB10" TargetMode="External"/><Relationship Id="rId1" Type="http://schemas.openxmlformats.org/officeDocument/2006/relationships/externalLinkPath" Target="file:///\\FAEDDB10\Leafiniti_draft%20Ind%20AS%20Standalone%20Financial%20Statements%20Mar%2024%20V5%20(00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equirement list "/>
      <sheetName val="Sheet4"/>
      <sheetName val="PL"/>
      <sheetName val="Sheet5"/>
      <sheetName val="BS"/>
      <sheetName val="Ind AS applicable"/>
      <sheetName val="Index"/>
      <sheetName val="Key assumptions and pts"/>
      <sheetName val="Net Worth Check"/>
      <sheetName val="Reco of Equity"/>
      <sheetName val="Ind AS adjustment summary"/>
      <sheetName val="Version changes"/>
      <sheetName val="Assumptions"/>
      <sheetName val="ind as assessment"/>
      <sheetName val="Reco of equity &amp; PL Dec 23"/>
      <sheetName val="IGAAP Vs Ind AS"/>
      <sheetName val="Balance Sheet"/>
      <sheetName val="Statement of P&amp;L"/>
      <sheetName val="Cashflow workings  2023"/>
      <sheetName val="SOCIE"/>
      <sheetName val="Cash flow statement"/>
      <sheetName val="Cashflow workings March 2023"/>
      <sheetName val="Sheet7"/>
      <sheetName val="Cashflow workings "/>
      <sheetName val="Notes 1-5"/>
      <sheetName val="Note"/>
      <sheetName val="Notes 6.2"/>
      <sheetName val="Note 6"/>
      <sheetName val="Note 7"/>
      <sheetName val="Notes 8 to 13"/>
      <sheetName val="Note 11-13"/>
      <sheetName val="Notes 14 to 22"/>
      <sheetName val="Notes 23 to 30"/>
      <sheetName val="Note 20"/>
      <sheetName val="Notes 31 to 32"/>
      <sheetName val="Note 33 to 47"/>
      <sheetName val="Revenue"/>
      <sheetName val="Note 40 to 48"/>
      <sheetName val="Note 48 to 49"/>
      <sheetName val="IGAAP VS INDAS2"/>
      <sheetName val="50-Ratios"/>
      <sheetName val="48 - Undisclosed income"/>
      <sheetName val="Chart1"/>
      <sheetName val="Notes 51 to 56"/>
      <sheetName val="Goodwill reco "/>
      <sheetName val="Sheet8"/>
      <sheetName val="Sheet10"/>
      <sheetName val="Reco &amp; workings&gt;&gt;&gt;"/>
      <sheetName val="TB 31-03-24"/>
      <sheetName val="IGAAP V IND AS"/>
      <sheetName val="schedule level Reco"/>
      <sheetName val="Sheet1"/>
      <sheetName val="Journal enties"/>
      <sheetName val="TB 22-23"/>
      <sheetName val="TB 23-24"/>
      <sheetName val="CCPS"/>
      <sheetName val="Tax Depreciation"/>
      <sheetName val="Tax Computation"/>
      <sheetName val="DT Workings "/>
      <sheetName val="Reco"/>
      <sheetName val="March 23 entry sheet"/>
      <sheetName val="New groupings"/>
      <sheetName val="TB"/>
      <sheetName val="Sheet15"/>
      <sheetName val="RECO TB"/>
      <sheetName val="Weighted average shares"/>
      <sheetName val="GG Workings"/>
      <sheetName val="Loan reco."/>
      <sheetName val="Interest paid break up"/>
      <sheetName val="Client TB"/>
      <sheetName val="OFL Cash movement"/>
      <sheetName val="Goodwill entry"/>
      <sheetName val="Capital commitment"/>
      <sheetName val="Sheet6"/>
      <sheetName val="PPA note"/>
      <sheetName val="PPA Workings"/>
      <sheetName val="Base workings "/>
      <sheetName val="EPS workings"/>
      <sheetName val="PPA vs TB"/>
      <sheetName val="Consumption workings"/>
      <sheetName val="CWIP"/>
      <sheetName val="Inventory"/>
      <sheetName val="Sheet11"/>
      <sheetName val="Sheet9"/>
      <sheetName val="FAR"/>
      <sheetName val="FAR-April-Sept "/>
      <sheetName val="Guidance &amp; benchmarking"/>
      <sheetName val="Sheet14"/>
      <sheetName val="Sheet13"/>
      <sheetName val="CWIP Workings"/>
      <sheetName val="Sheet2"/>
      <sheetName val="Sheet3"/>
      <sheetName val="Sheet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8">
          <cell r="E8">
            <v>4713.8900000000003</v>
          </cell>
        </row>
      </sheetData>
      <sheetData sheetId="17">
        <row r="3">
          <cell r="B3" t="str">
            <v>(Amount in Indian Rupees Lakhs, unless otherwise stated)</v>
          </cell>
        </row>
        <row r="5">
          <cell r="E5" t="str">
            <v>31 March 2024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1">
          <cell r="A1" t="str">
            <v>Leafiniti Bioenergy Private Limited</v>
          </cell>
        </row>
      </sheetData>
      <sheetData sheetId="25"/>
      <sheetData sheetId="26"/>
      <sheetData sheetId="27"/>
      <sheetData sheetId="28">
        <row r="12">
          <cell r="I12">
            <v>0.45999999999999996</v>
          </cell>
          <cell r="K12">
            <v>0.05</v>
          </cell>
        </row>
      </sheetData>
      <sheetData sheetId="29"/>
      <sheetData sheetId="30"/>
      <sheetData sheetId="31">
        <row r="136">
          <cell r="B136" t="str">
            <v>Canara Bank term loan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>
        <row r="1">
          <cell r="R1">
            <v>-3.33</v>
          </cell>
          <cell r="Z1">
            <v>-4.87</v>
          </cell>
          <cell r="AD1">
            <v>0</v>
          </cell>
        </row>
        <row r="2">
          <cell r="L2" t="str">
            <v>Sub head</v>
          </cell>
          <cell r="M2" t="str">
            <v>Notes to accounts linking</v>
          </cell>
          <cell r="N2" t="str">
            <v>Note No.</v>
          </cell>
          <cell r="R2" t="str">
            <v>Amount as per Ind AS</v>
          </cell>
          <cell r="Z2" t="str">
            <v>Amount as per Ind AS</v>
          </cell>
          <cell r="AD2" t="str">
            <v>Amount as per Ind AS</v>
          </cell>
        </row>
        <row r="3">
          <cell r="M3" t="str">
            <v>Equity share capital</v>
          </cell>
          <cell r="R3">
            <v>0</v>
          </cell>
          <cell r="Z3">
            <v>-17.149999999999999</v>
          </cell>
          <cell r="AD3">
            <v>0</v>
          </cell>
          <cell r="AL3">
            <v>100000</v>
          </cell>
        </row>
        <row r="4">
          <cell r="M4" t="str">
            <v>Equity share capital</v>
          </cell>
          <cell r="R4">
            <v>0</v>
          </cell>
          <cell r="Z4">
            <v>-687.65</v>
          </cell>
          <cell r="AD4">
            <v>0</v>
          </cell>
        </row>
        <row r="5">
          <cell r="M5" t="str">
            <v>Equity share capital</v>
          </cell>
          <cell r="R5">
            <v>0</v>
          </cell>
          <cell r="Z5">
            <v>-704.8</v>
          </cell>
          <cell r="AD5">
            <v>0</v>
          </cell>
        </row>
        <row r="6">
          <cell r="M6" t="str">
            <v>Credit card loan</v>
          </cell>
          <cell r="R6">
            <v>0</v>
          </cell>
          <cell r="Z6">
            <v>-91.06</v>
          </cell>
          <cell r="AD6">
            <v>0</v>
          </cell>
        </row>
        <row r="7">
          <cell r="M7" t="str">
            <v>Canara Bank term loan</v>
          </cell>
          <cell r="R7">
            <v>0</v>
          </cell>
          <cell r="Z7">
            <v>-2903.25</v>
          </cell>
          <cell r="AD7">
            <v>0</v>
          </cell>
        </row>
        <row r="8">
          <cell r="M8" t="str">
            <v>Loans to related parties</v>
          </cell>
          <cell r="R8">
            <v>0</v>
          </cell>
          <cell r="Z8">
            <v>-84.5</v>
          </cell>
          <cell r="AD8">
            <v>0</v>
          </cell>
        </row>
        <row r="9">
          <cell r="M9" t="str">
            <v>Statutory dues payable</v>
          </cell>
          <cell r="R9">
            <v>-0.65</v>
          </cell>
          <cell r="Z9">
            <v>-4.87</v>
          </cell>
          <cell r="AD9">
            <v>0</v>
          </cell>
        </row>
        <row r="10">
          <cell r="M10" t="str">
            <v>Statutory dues payable</v>
          </cell>
          <cell r="R10">
            <v>0</v>
          </cell>
          <cell r="Z10">
            <v>-39.369999999999997</v>
          </cell>
          <cell r="AD10">
            <v>0</v>
          </cell>
        </row>
        <row r="11">
          <cell r="M11" t="str">
            <v>Statutory dues payable</v>
          </cell>
          <cell r="R11">
            <v>0</v>
          </cell>
          <cell r="Z11">
            <v>-0.22</v>
          </cell>
          <cell r="AD11">
            <v>0</v>
          </cell>
        </row>
        <row r="12">
          <cell r="M12" t="str">
            <v>Statutory dues payable</v>
          </cell>
          <cell r="R12">
            <v>0</v>
          </cell>
          <cell r="Z12">
            <v>-0.13</v>
          </cell>
          <cell r="AD12">
            <v>0</v>
          </cell>
        </row>
        <row r="13">
          <cell r="M13" t="str">
            <v>Statutory dues payable</v>
          </cell>
          <cell r="R13">
            <v>0</v>
          </cell>
          <cell r="Z13">
            <v>-0.15</v>
          </cell>
          <cell r="AD13">
            <v>0</v>
          </cell>
        </row>
        <row r="14">
          <cell r="M14" t="str">
            <v>Statutory dues payable</v>
          </cell>
          <cell r="R14">
            <v>0</v>
          </cell>
          <cell r="Z14">
            <v>-0.17</v>
          </cell>
          <cell r="AD14">
            <v>0</v>
          </cell>
        </row>
        <row r="15">
          <cell r="M15" t="str">
            <v>Total outstanding dues of creditors other than micro enterprises and small enterprises</v>
          </cell>
          <cell r="R15">
            <v>0</v>
          </cell>
          <cell r="Z15">
            <v>-0.1</v>
          </cell>
          <cell r="AD15">
            <v>0</v>
          </cell>
        </row>
        <row r="16">
          <cell r="M16" t="str">
            <v>Total outstanding dues of creditors other than micro enterprises and small enterprises</v>
          </cell>
          <cell r="R16">
            <v>0</v>
          </cell>
          <cell r="Z16">
            <v>-27.85</v>
          </cell>
          <cell r="AD16">
            <v>0</v>
          </cell>
        </row>
        <row r="17">
          <cell r="M17" t="str">
            <v>Total outstanding dues of creditors other than micro enterprises and small enterprises</v>
          </cell>
          <cell r="R17">
            <v>0</v>
          </cell>
          <cell r="Z17">
            <v>-0.37</v>
          </cell>
          <cell r="AD17">
            <v>0</v>
          </cell>
        </row>
        <row r="18">
          <cell r="M18" t="str">
            <v>Total outstanding dues of creditors other than micro enterprises and small enterprises</v>
          </cell>
          <cell r="R18">
            <v>0</v>
          </cell>
          <cell r="Z18">
            <v>-0.45</v>
          </cell>
          <cell r="AD18">
            <v>0</v>
          </cell>
        </row>
        <row r="19">
          <cell r="M19" t="str">
            <v>Advance to Third parties</v>
          </cell>
          <cell r="R19">
            <v>0</v>
          </cell>
          <cell r="Z19">
            <v>5.33</v>
          </cell>
          <cell r="AD19">
            <v>0</v>
          </cell>
        </row>
        <row r="20">
          <cell r="M20" t="str">
            <v>Total outstanding dues of creditors other than micro enterprises and small enterprises</v>
          </cell>
          <cell r="R20">
            <v>0</v>
          </cell>
          <cell r="Z20">
            <v>-0.87</v>
          </cell>
          <cell r="AD20">
            <v>0</v>
          </cell>
        </row>
        <row r="21">
          <cell r="M21" t="str">
            <v>Total outstanding dues of creditors other than micro enterprises and small enterprises</v>
          </cell>
          <cell r="R21">
            <v>0</v>
          </cell>
          <cell r="Z21">
            <v>-4.09</v>
          </cell>
          <cell r="AD21">
            <v>0</v>
          </cell>
        </row>
        <row r="22">
          <cell r="M22" t="str">
            <v>Total outstanding dues of creditors other than micro enterprises and small enterprises</v>
          </cell>
          <cell r="R22">
            <v>0</v>
          </cell>
          <cell r="Z22">
            <v>-13.95</v>
          </cell>
          <cell r="AD22">
            <v>0</v>
          </cell>
        </row>
        <row r="23">
          <cell r="M23" t="str">
            <v>Advance to Third parties</v>
          </cell>
          <cell r="R23">
            <v>0</v>
          </cell>
          <cell r="Z23">
            <v>0.71</v>
          </cell>
          <cell r="AD23">
            <v>0</v>
          </cell>
        </row>
        <row r="24">
          <cell r="M24" t="str">
            <v>Total outstanding dues of creditors other than micro enterprises and small enterprises</v>
          </cell>
          <cell r="R24">
            <v>0</v>
          </cell>
          <cell r="Z24">
            <v>-0.69</v>
          </cell>
          <cell r="AD24">
            <v>0</v>
          </cell>
        </row>
        <row r="25">
          <cell r="M25" t="str">
            <v>Total outstanding dues of creditors other than micro enterprises and small enterprises</v>
          </cell>
          <cell r="R25">
            <v>0</v>
          </cell>
          <cell r="Z25">
            <v>-1.84</v>
          </cell>
          <cell r="AD25">
            <v>0</v>
          </cell>
        </row>
        <row r="26">
          <cell r="M26" t="str">
            <v>Advance to Third parties</v>
          </cell>
          <cell r="R26">
            <v>0</v>
          </cell>
          <cell r="Z26">
            <v>1.8</v>
          </cell>
          <cell r="AD26">
            <v>0</v>
          </cell>
        </row>
        <row r="27">
          <cell r="M27" t="str">
            <v>Other Financial Liabilities</v>
          </cell>
          <cell r="R27">
            <v>0</v>
          </cell>
          <cell r="Z27">
            <v>-60</v>
          </cell>
          <cell r="AD27">
            <v>0</v>
          </cell>
        </row>
        <row r="28">
          <cell r="M28" t="str">
            <v>Advance to Third parties</v>
          </cell>
          <cell r="R28">
            <v>0</v>
          </cell>
          <cell r="Z28">
            <v>0.33</v>
          </cell>
          <cell r="AD28">
            <v>0</v>
          </cell>
        </row>
        <row r="29">
          <cell r="M29" t="str">
            <v>Total outstanding dues of creditors other than micro enterprises and small enterprises</v>
          </cell>
          <cell r="R29">
            <v>0</v>
          </cell>
          <cell r="Z29">
            <v>-0.4</v>
          </cell>
          <cell r="AD29">
            <v>0</v>
          </cell>
        </row>
        <row r="30">
          <cell r="M30" t="str">
            <v>Total outstanding dues of creditors other than micro enterprises and small enterprises</v>
          </cell>
          <cell r="R30">
            <v>0</v>
          </cell>
          <cell r="Z30">
            <v>-0.16</v>
          </cell>
          <cell r="AD30">
            <v>0</v>
          </cell>
        </row>
        <row r="31">
          <cell r="M31" t="str">
            <v>Total outstanding dues of creditors other than micro enterprises and small enterprises</v>
          </cell>
          <cell r="R31">
            <v>0</v>
          </cell>
          <cell r="Z31">
            <v>-0.14000000000000001</v>
          </cell>
          <cell r="AD31">
            <v>0</v>
          </cell>
        </row>
        <row r="32">
          <cell r="M32" t="str">
            <v>Other Financial Liabilities</v>
          </cell>
          <cell r="R32">
            <v>0</v>
          </cell>
          <cell r="Z32">
            <v>-409.83</v>
          </cell>
          <cell r="AD32">
            <v>0</v>
          </cell>
        </row>
        <row r="33">
          <cell r="M33" t="str">
            <v>Other Financial Liabilities</v>
          </cell>
          <cell r="R33">
            <v>0</v>
          </cell>
          <cell r="Z33">
            <v>-68.08</v>
          </cell>
          <cell r="AD33">
            <v>0</v>
          </cell>
        </row>
        <row r="34">
          <cell r="M34" t="str">
            <v>Total outstanding dues of creditors other than micro enterprises and small enterprises</v>
          </cell>
          <cell r="R34">
            <v>0</v>
          </cell>
          <cell r="Z34">
            <v>-0.01</v>
          </cell>
          <cell r="AD34">
            <v>0</v>
          </cell>
        </row>
        <row r="35">
          <cell r="M35" t="str">
            <v>Total outstanding dues of creditors other than micro enterprises and small enterprises</v>
          </cell>
          <cell r="R35">
            <v>0</v>
          </cell>
          <cell r="Z35">
            <v>-1</v>
          </cell>
          <cell r="AD35">
            <v>0</v>
          </cell>
        </row>
        <row r="36">
          <cell r="M36" t="str">
            <v>Advance to Third parties</v>
          </cell>
          <cell r="R36">
            <v>0</v>
          </cell>
          <cell r="Z36">
            <v>0.02</v>
          </cell>
          <cell r="AD36">
            <v>0</v>
          </cell>
        </row>
        <row r="37">
          <cell r="M37" t="str">
            <v>Advance to Third parties</v>
          </cell>
          <cell r="R37">
            <v>0</v>
          </cell>
          <cell r="Z37">
            <v>0.42</v>
          </cell>
          <cell r="AD37">
            <v>0</v>
          </cell>
        </row>
        <row r="38">
          <cell r="M38" t="str">
            <v>Total outstanding dues of creditors other than micro enterprises and small enterprises</v>
          </cell>
          <cell r="R38">
            <v>0</v>
          </cell>
          <cell r="Z38">
            <v>-1.3</v>
          </cell>
          <cell r="AD38">
            <v>0</v>
          </cell>
        </row>
        <row r="39">
          <cell r="M39" t="str">
            <v>Advance to Third parties</v>
          </cell>
          <cell r="R39">
            <v>0</v>
          </cell>
          <cell r="Z39">
            <v>0.17</v>
          </cell>
          <cell r="AD39">
            <v>0</v>
          </cell>
        </row>
        <row r="40">
          <cell r="M40" t="str">
            <v>Total outstanding dues of creditors other than micro enterprises and small enterprises</v>
          </cell>
          <cell r="R40">
            <v>0</v>
          </cell>
          <cell r="Z40">
            <v>-0.99</v>
          </cell>
          <cell r="AD40">
            <v>0</v>
          </cell>
        </row>
        <row r="41">
          <cell r="M41" t="str">
            <v>Total outstanding dues of creditors other than micro enterprises and small enterprises</v>
          </cell>
          <cell r="R41">
            <v>0</v>
          </cell>
          <cell r="Z41">
            <v>-0.27</v>
          </cell>
          <cell r="AD41">
            <v>0</v>
          </cell>
        </row>
        <row r="42">
          <cell r="M42" t="str">
            <v>Total outstanding dues of creditors other than micro enterprises and small enterprises</v>
          </cell>
          <cell r="R42">
            <v>0</v>
          </cell>
          <cell r="Z42">
            <v>-0.55000000000000004</v>
          </cell>
          <cell r="AD42">
            <v>0</v>
          </cell>
        </row>
        <row r="43">
          <cell r="M43" t="str">
            <v>Total outstanding dues of creditors other than micro enterprises and small enterprises</v>
          </cell>
          <cell r="R43">
            <v>0</v>
          </cell>
          <cell r="Z43">
            <v>-0.16</v>
          </cell>
          <cell r="AD43">
            <v>0</v>
          </cell>
        </row>
        <row r="44">
          <cell r="M44" t="str">
            <v>Total outstanding dues of creditors other than micro enterprises and small enterprises</v>
          </cell>
          <cell r="R44">
            <v>0</v>
          </cell>
          <cell r="Z44">
            <v>-0.1</v>
          </cell>
          <cell r="AD44">
            <v>0</v>
          </cell>
        </row>
        <row r="45">
          <cell r="M45" t="str">
            <v>Total outstanding dues of creditors other than micro enterprises and small enterprises</v>
          </cell>
          <cell r="R45">
            <v>0</v>
          </cell>
          <cell r="Z45">
            <v>-1.57</v>
          </cell>
          <cell r="AD45">
            <v>0</v>
          </cell>
        </row>
        <row r="46">
          <cell r="M46" t="str">
            <v>Total outstanding dues of creditors other than micro enterprises and small enterprises</v>
          </cell>
          <cell r="R46">
            <v>0</v>
          </cell>
          <cell r="Z46">
            <v>-0.03</v>
          </cell>
          <cell r="AD46">
            <v>0</v>
          </cell>
        </row>
        <row r="47">
          <cell r="M47" t="str">
            <v>Advance to Third parties</v>
          </cell>
          <cell r="R47">
            <v>0</v>
          </cell>
          <cell r="Z47">
            <v>0.02</v>
          </cell>
          <cell r="AD47">
            <v>0</v>
          </cell>
        </row>
        <row r="48">
          <cell r="M48" t="str">
            <v>Total outstanding dues of creditors other than micro enterprises and small enterprises</v>
          </cell>
          <cell r="R48">
            <v>0</v>
          </cell>
          <cell r="Z48">
            <v>-2</v>
          </cell>
          <cell r="AD48">
            <v>0</v>
          </cell>
        </row>
        <row r="49">
          <cell r="M49" t="str">
            <v>Advance to Third parties</v>
          </cell>
          <cell r="R49">
            <v>0</v>
          </cell>
          <cell r="Z49">
            <v>0.2</v>
          </cell>
          <cell r="AD49">
            <v>0</v>
          </cell>
        </row>
        <row r="50">
          <cell r="M50" t="str">
            <v>Total outstanding dues of creditors other than micro enterprises and small enterprises</v>
          </cell>
          <cell r="R50">
            <v>0</v>
          </cell>
          <cell r="Z50">
            <v>-3.86</v>
          </cell>
          <cell r="AD50">
            <v>0</v>
          </cell>
        </row>
        <row r="51">
          <cell r="M51" t="str">
            <v>Other Financial Liabilities</v>
          </cell>
          <cell r="R51">
            <v>0</v>
          </cell>
          <cell r="Z51">
            <v>-0.96</v>
          </cell>
          <cell r="AD51">
            <v>0</v>
          </cell>
        </row>
        <row r="52">
          <cell r="M52" t="str">
            <v>Total outstanding dues of creditors other than micro enterprises and small enterprises</v>
          </cell>
          <cell r="R52">
            <v>0</v>
          </cell>
          <cell r="Z52">
            <v>-0.12</v>
          </cell>
          <cell r="AD52">
            <v>0</v>
          </cell>
        </row>
        <row r="53">
          <cell r="M53" t="str">
            <v>Total outstanding dues of creditors other than micro enterprises and small enterprises</v>
          </cell>
          <cell r="R53">
            <v>0</v>
          </cell>
          <cell r="Z53">
            <v>-1.85</v>
          </cell>
          <cell r="AD53">
            <v>0</v>
          </cell>
        </row>
        <row r="54">
          <cell r="M54" t="str">
            <v>Total outstanding dues of creditors other than micro enterprises and small enterprises</v>
          </cell>
          <cell r="R54">
            <v>0</v>
          </cell>
          <cell r="Z54">
            <v>-0.33</v>
          </cell>
          <cell r="AD54">
            <v>0</v>
          </cell>
        </row>
        <row r="55">
          <cell r="M55" t="str">
            <v>Total outstanding dues of creditors other than micro enterprises and small enterprises</v>
          </cell>
          <cell r="R55">
            <v>0</v>
          </cell>
          <cell r="Z55">
            <v>-0.08</v>
          </cell>
          <cell r="AD55">
            <v>0</v>
          </cell>
        </row>
        <row r="56">
          <cell r="M56" t="str">
            <v>Advance to Third parties</v>
          </cell>
          <cell r="R56">
            <v>0</v>
          </cell>
          <cell r="Z56">
            <v>0.3</v>
          </cell>
          <cell r="AD56">
            <v>0</v>
          </cell>
        </row>
        <row r="57">
          <cell r="M57" t="str">
            <v>Advance to Third parties</v>
          </cell>
          <cell r="R57">
            <v>0</v>
          </cell>
          <cell r="Z57">
            <v>0.13</v>
          </cell>
          <cell r="AD57">
            <v>0</v>
          </cell>
        </row>
        <row r="58">
          <cell r="M58" t="str">
            <v>Total outstanding dues of creditors other than micro enterprises and small enterprises</v>
          </cell>
          <cell r="R58">
            <v>0</v>
          </cell>
          <cell r="Z58">
            <v>-2.15</v>
          </cell>
          <cell r="AD58">
            <v>0</v>
          </cell>
        </row>
        <row r="59">
          <cell r="M59" t="str">
            <v>Total outstanding dues of creditors other than micro enterprises and small enterprises</v>
          </cell>
          <cell r="R59">
            <v>0</v>
          </cell>
          <cell r="Z59">
            <v>-0.06</v>
          </cell>
          <cell r="AD59">
            <v>0</v>
          </cell>
        </row>
        <row r="60">
          <cell r="M60" t="str">
            <v>Total outstanding dues of creditors other than micro enterprises and small enterprises</v>
          </cell>
          <cell r="R60">
            <v>0</v>
          </cell>
          <cell r="Z60">
            <v>-3.72</v>
          </cell>
          <cell r="AD60">
            <v>0</v>
          </cell>
        </row>
        <row r="61">
          <cell r="M61" t="str">
            <v>Other Financial Liabilities</v>
          </cell>
          <cell r="R61">
            <v>0</v>
          </cell>
          <cell r="Z61">
            <v>-367.59</v>
          </cell>
          <cell r="AD61">
            <v>0</v>
          </cell>
        </row>
        <row r="62">
          <cell r="M62" t="str">
            <v>Advance to Third parties</v>
          </cell>
          <cell r="R62">
            <v>0</v>
          </cell>
          <cell r="Z62">
            <v>0.25</v>
          </cell>
          <cell r="AD62">
            <v>0</v>
          </cell>
        </row>
        <row r="63">
          <cell r="M63" t="str">
            <v>Advance to Third parties</v>
          </cell>
          <cell r="R63">
            <v>0</v>
          </cell>
          <cell r="Z63">
            <v>2.4900000000000002</v>
          </cell>
          <cell r="AD63">
            <v>0</v>
          </cell>
        </row>
        <row r="64">
          <cell r="M64" t="str">
            <v>Total outstanding dues of creditors other than micro enterprises and small enterprises</v>
          </cell>
          <cell r="R64">
            <v>0</v>
          </cell>
          <cell r="Z64">
            <v>-56.06</v>
          </cell>
          <cell r="AD64">
            <v>0</v>
          </cell>
        </row>
        <row r="65">
          <cell r="M65" t="str">
            <v>Advance to Third parties</v>
          </cell>
          <cell r="R65">
            <v>0</v>
          </cell>
          <cell r="Z65">
            <v>0.06</v>
          </cell>
          <cell r="AD65">
            <v>0</v>
          </cell>
        </row>
        <row r="66">
          <cell r="M66" t="str">
            <v>Total outstanding dues of creditors other than micro enterprises and small enterprises</v>
          </cell>
          <cell r="R66">
            <v>0</v>
          </cell>
          <cell r="Z66">
            <v>-1.19</v>
          </cell>
          <cell r="AD66">
            <v>0</v>
          </cell>
        </row>
        <row r="67">
          <cell r="M67" t="str">
            <v>Other Financial Liabilities</v>
          </cell>
          <cell r="R67">
            <v>0</v>
          </cell>
          <cell r="Z67">
            <v>-2.34</v>
          </cell>
          <cell r="AD67">
            <v>0</v>
          </cell>
        </row>
        <row r="68">
          <cell r="M68" t="str">
            <v>Total outstanding dues of creditors other than micro enterprises and small enterprises</v>
          </cell>
          <cell r="R68">
            <v>0</v>
          </cell>
          <cell r="Z68">
            <v>-1.0900000000000001</v>
          </cell>
          <cell r="AD68">
            <v>0</v>
          </cell>
        </row>
        <row r="69">
          <cell r="M69" t="str">
            <v>Total outstanding dues of creditors other than micro enterprises and small enterprises</v>
          </cell>
          <cell r="R69">
            <v>0.65</v>
          </cell>
          <cell r="Z69">
            <v>-48.59</v>
          </cell>
          <cell r="AD69">
            <v>0</v>
          </cell>
        </row>
        <row r="70">
          <cell r="M70" t="str">
            <v>Total outstanding dues of creditors other than micro enterprises and small enterprises</v>
          </cell>
          <cell r="R70">
            <v>0</v>
          </cell>
          <cell r="Z70">
            <v>-1.35</v>
          </cell>
          <cell r="AD70">
            <v>0</v>
          </cell>
        </row>
        <row r="71">
          <cell r="M71" t="str">
            <v>Total outstanding dues of creditors other than micro enterprises and small enterprises</v>
          </cell>
          <cell r="R71">
            <v>0</v>
          </cell>
          <cell r="Z71">
            <v>-0.11</v>
          </cell>
          <cell r="AD71">
            <v>0</v>
          </cell>
        </row>
        <row r="72">
          <cell r="M72" t="str">
            <v>Total outstanding dues of creditors other than micro enterprises and small enterprises</v>
          </cell>
          <cell r="R72">
            <v>0</v>
          </cell>
          <cell r="Z72">
            <v>-0.39</v>
          </cell>
          <cell r="AD72">
            <v>0</v>
          </cell>
        </row>
        <row r="73">
          <cell r="M73" t="str">
            <v>Advance to Third parties</v>
          </cell>
          <cell r="R73">
            <v>0</v>
          </cell>
          <cell r="Z73">
            <v>3.78</v>
          </cell>
          <cell r="AD73">
            <v>0</v>
          </cell>
        </row>
        <row r="74">
          <cell r="M74" t="str">
            <v>Total outstanding dues of creditors other than micro enterprises and small enterprises</v>
          </cell>
          <cell r="R74">
            <v>0</v>
          </cell>
          <cell r="Z74">
            <v>-1.99</v>
          </cell>
          <cell r="AD74">
            <v>0</v>
          </cell>
        </row>
        <row r="75">
          <cell r="M75" t="str">
            <v>Total outstanding dues of creditors other than micro enterprises and small enterprises</v>
          </cell>
          <cell r="R75">
            <v>0</v>
          </cell>
          <cell r="Z75">
            <v>-0.14000000000000001</v>
          </cell>
          <cell r="AD75">
            <v>0</v>
          </cell>
        </row>
        <row r="76">
          <cell r="M76" t="str">
            <v>Total outstanding dues of creditors other than micro enterprises and small enterprises</v>
          </cell>
          <cell r="R76">
            <v>0</v>
          </cell>
          <cell r="Z76">
            <v>-0.22</v>
          </cell>
          <cell r="AD76">
            <v>0</v>
          </cell>
        </row>
        <row r="77">
          <cell r="M77" t="str">
            <v>Total outstanding dues of creditors other than micro enterprises and small enterprises</v>
          </cell>
          <cell r="R77">
            <v>0</v>
          </cell>
          <cell r="Z77">
            <v>-767.64</v>
          </cell>
          <cell r="AD77">
            <v>0</v>
          </cell>
        </row>
        <row r="78">
          <cell r="M78" t="str">
            <v>Total outstanding dues of creditors other than micro enterprises and small enterprises</v>
          </cell>
          <cell r="R78">
            <v>0</v>
          </cell>
          <cell r="Z78">
            <v>-1.66</v>
          </cell>
          <cell r="AD78">
            <v>0</v>
          </cell>
        </row>
        <row r="79">
          <cell r="M79" t="str">
            <v>Advance to Third parties</v>
          </cell>
          <cell r="R79">
            <v>0</v>
          </cell>
          <cell r="Z79">
            <v>7.0000000000000007E-2</v>
          </cell>
          <cell r="AD79">
            <v>0</v>
          </cell>
        </row>
        <row r="80">
          <cell r="M80" t="str">
            <v>Total outstanding dues of creditors other than micro enterprises and small enterprises</v>
          </cell>
          <cell r="R80">
            <v>0</v>
          </cell>
          <cell r="Z80">
            <v>-2.37</v>
          </cell>
          <cell r="AD80">
            <v>0</v>
          </cell>
        </row>
        <row r="81">
          <cell r="M81" t="str">
            <v>Advance to Third parties</v>
          </cell>
          <cell r="R81">
            <v>0</v>
          </cell>
          <cell r="Z81">
            <v>0.14000000000000001</v>
          </cell>
          <cell r="AD81">
            <v>0</v>
          </cell>
        </row>
        <row r="82">
          <cell r="M82" t="str">
            <v>Total outstanding dues of creditors other than micro enterprises and small enterprises</v>
          </cell>
          <cell r="R82">
            <v>0</v>
          </cell>
          <cell r="Z82">
            <v>-0.02</v>
          </cell>
          <cell r="AD82">
            <v>0</v>
          </cell>
        </row>
        <row r="83">
          <cell r="M83" t="str">
            <v>Total outstanding dues of creditors other than micro enterprises and small enterprises</v>
          </cell>
          <cell r="R83">
            <v>0</v>
          </cell>
          <cell r="Z83">
            <v>-0.02</v>
          </cell>
          <cell r="AD83">
            <v>0</v>
          </cell>
        </row>
        <row r="84">
          <cell r="M84" t="str">
            <v>Total outstanding dues of creditors other than micro enterprises and small enterprises</v>
          </cell>
          <cell r="R84">
            <v>0</v>
          </cell>
          <cell r="Z84">
            <v>-1.0900000000000001</v>
          </cell>
          <cell r="AD84">
            <v>0</v>
          </cell>
        </row>
        <row r="85">
          <cell r="M85" t="str">
            <v>Total outstanding dues of creditors other than micro enterprises and small enterprises</v>
          </cell>
          <cell r="R85">
            <v>0</v>
          </cell>
          <cell r="Z85">
            <v>-0.31</v>
          </cell>
          <cell r="AD85">
            <v>0</v>
          </cell>
        </row>
        <row r="86">
          <cell r="M86" t="str">
            <v>Total outstanding dues of creditors other than micro enterprises and small enterprises</v>
          </cell>
          <cell r="R86">
            <v>0</v>
          </cell>
          <cell r="Z86">
            <v>-1.04</v>
          </cell>
          <cell r="AD86">
            <v>0</v>
          </cell>
        </row>
        <row r="87">
          <cell r="M87" t="str">
            <v>Total outstanding dues of creditors other than micro enterprises and small enterprises</v>
          </cell>
          <cell r="R87">
            <v>0</v>
          </cell>
          <cell r="Z87">
            <v>-7.0000000000000007E-2</v>
          </cell>
          <cell r="AD87">
            <v>0</v>
          </cell>
        </row>
        <row r="88">
          <cell r="M88" t="str">
            <v>Total outstanding dues of creditors other than micro enterprises and small enterprises</v>
          </cell>
          <cell r="R88">
            <v>0</v>
          </cell>
          <cell r="Z88">
            <v>-0.18</v>
          </cell>
          <cell r="AD88">
            <v>0</v>
          </cell>
        </row>
        <row r="89">
          <cell r="M89" t="str">
            <v>Total outstanding dues of creditors other than micro enterprises and small enterprises</v>
          </cell>
          <cell r="R89">
            <v>0</v>
          </cell>
          <cell r="Z89">
            <v>-1.1299999999999999</v>
          </cell>
          <cell r="AD89">
            <v>0</v>
          </cell>
        </row>
        <row r="90">
          <cell r="M90" t="str">
            <v>Total outstanding dues of creditors other than micro enterprises and small enterprises</v>
          </cell>
          <cell r="R90">
            <v>0</v>
          </cell>
          <cell r="Z90">
            <v>-0.99</v>
          </cell>
          <cell r="AD90">
            <v>0</v>
          </cell>
        </row>
        <row r="91">
          <cell r="M91" t="str">
            <v>Deferred tax liability</v>
          </cell>
          <cell r="R91">
            <v>252.96</v>
          </cell>
          <cell r="Z91">
            <v>-176.85</v>
          </cell>
          <cell r="AD91">
            <v>0</v>
          </cell>
        </row>
        <row r="92">
          <cell r="M92" t="str">
            <v>Interest payable</v>
          </cell>
          <cell r="R92">
            <v>0</v>
          </cell>
          <cell r="Z92">
            <v>-31.43</v>
          </cell>
          <cell r="AD92">
            <v>0</v>
          </cell>
        </row>
        <row r="93">
          <cell r="M93" t="str">
            <v>Payable to Employees</v>
          </cell>
          <cell r="R93">
            <v>0</v>
          </cell>
          <cell r="Z93">
            <v>-10.61</v>
          </cell>
          <cell r="AD93">
            <v>0</v>
          </cell>
        </row>
        <row r="94">
          <cell r="M94" t="str">
            <v>Accumulated depreciation</v>
          </cell>
          <cell r="R94">
            <v>0</v>
          </cell>
          <cell r="Z94">
            <v>-0.17</v>
          </cell>
          <cell r="AD94">
            <v>0</v>
          </cell>
        </row>
        <row r="95">
          <cell r="M95" t="str">
            <v>Building-Factory</v>
          </cell>
          <cell r="R95">
            <v>0</v>
          </cell>
          <cell r="Z95">
            <v>480.62</v>
          </cell>
          <cell r="AD95">
            <v>0</v>
          </cell>
        </row>
        <row r="96">
          <cell r="M96" t="str">
            <v>Computers</v>
          </cell>
          <cell r="R96">
            <v>0</v>
          </cell>
          <cell r="Z96">
            <v>2.42</v>
          </cell>
          <cell r="AD96">
            <v>0</v>
          </cell>
        </row>
        <row r="97">
          <cell r="M97" t="str">
            <v>Land</v>
          </cell>
          <cell r="R97">
            <v>0</v>
          </cell>
          <cell r="Z97">
            <v>476.17</v>
          </cell>
          <cell r="AD97">
            <v>0</v>
          </cell>
        </row>
        <row r="98">
          <cell r="M98" t="str">
            <v>Furniture and fixtures</v>
          </cell>
          <cell r="R98">
            <v>0</v>
          </cell>
          <cell r="Z98">
            <v>3.01</v>
          </cell>
          <cell r="AD98">
            <v>0</v>
          </cell>
        </row>
        <row r="99">
          <cell r="M99" t="str">
            <v>software</v>
          </cell>
          <cell r="R99">
            <v>0</v>
          </cell>
          <cell r="Z99">
            <v>0.34</v>
          </cell>
          <cell r="AD99">
            <v>0</v>
          </cell>
        </row>
        <row r="100">
          <cell r="M100" t="str">
            <v>Office Equipment</v>
          </cell>
          <cell r="R100">
            <v>0</v>
          </cell>
          <cell r="Z100">
            <v>20.98</v>
          </cell>
          <cell r="AD100">
            <v>0</v>
          </cell>
        </row>
        <row r="101">
          <cell r="M101" t="str">
            <v xml:space="preserve">Plant and machinery </v>
          </cell>
          <cell r="R101">
            <v>0</v>
          </cell>
          <cell r="Z101">
            <v>3854.61</v>
          </cell>
          <cell r="AD101">
            <v>0</v>
          </cell>
        </row>
        <row r="102">
          <cell r="M102" t="str">
            <v>Building-Factory</v>
          </cell>
          <cell r="R102">
            <v>0</v>
          </cell>
          <cell r="Z102">
            <v>32.229999999999997</v>
          </cell>
          <cell r="AD102">
            <v>0</v>
          </cell>
        </row>
        <row r="103">
          <cell r="M103" t="str">
            <v>Property, Plant and Equipment</v>
          </cell>
          <cell r="R103">
            <v>0</v>
          </cell>
          <cell r="Z103">
            <v>-183.29</v>
          </cell>
          <cell r="AD103">
            <v>0</v>
          </cell>
        </row>
        <row r="104">
          <cell r="M104" t="str">
            <v>cost of raw material consumed</v>
          </cell>
          <cell r="R104">
            <v>0</v>
          </cell>
          <cell r="Z104">
            <v>174.01</v>
          </cell>
          <cell r="AD104">
            <v>0</v>
          </cell>
        </row>
        <row r="105">
          <cell r="M105" t="str">
            <v>Security deposit</v>
          </cell>
          <cell r="R105">
            <v>0</v>
          </cell>
          <cell r="Z105">
            <v>3.2</v>
          </cell>
          <cell r="AD105">
            <v>0</v>
          </cell>
        </row>
        <row r="106">
          <cell r="M106" t="str">
            <v>Security deposit</v>
          </cell>
          <cell r="R106">
            <v>0</v>
          </cell>
          <cell r="Z106">
            <v>0.1</v>
          </cell>
          <cell r="AD106">
            <v>0</v>
          </cell>
        </row>
        <row r="107">
          <cell r="M107" t="str">
            <v>On current accounts</v>
          </cell>
          <cell r="R107">
            <v>0</v>
          </cell>
          <cell r="Z107">
            <v>5</v>
          </cell>
          <cell r="AD107">
            <v>0</v>
          </cell>
        </row>
        <row r="108">
          <cell r="M108" t="str">
            <v>Advance to Third parties</v>
          </cell>
          <cell r="R108">
            <v>0</v>
          </cell>
          <cell r="Z108">
            <v>0.25</v>
          </cell>
          <cell r="AD108">
            <v>0</v>
          </cell>
        </row>
        <row r="109">
          <cell r="M109" t="str">
            <v>Advance to Third parties</v>
          </cell>
          <cell r="R109">
            <v>0</v>
          </cell>
          <cell r="Z109">
            <v>0.18</v>
          </cell>
          <cell r="AD109">
            <v>0</v>
          </cell>
        </row>
        <row r="110">
          <cell r="M110" t="str">
            <v>Advance to Third parties</v>
          </cell>
          <cell r="R110">
            <v>0</v>
          </cell>
          <cell r="Z110">
            <v>0</v>
          </cell>
          <cell r="AD110">
            <v>0</v>
          </cell>
        </row>
        <row r="111">
          <cell r="M111" t="str">
            <v>Advance to Third parties</v>
          </cell>
          <cell r="R111">
            <v>0</v>
          </cell>
          <cell r="Z111">
            <v>0.34</v>
          </cell>
          <cell r="AD111">
            <v>0</v>
          </cell>
        </row>
        <row r="112">
          <cell r="M112" t="str">
            <v>Advance to Third parties</v>
          </cell>
          <cell r="R112">
            <v>0</v>
          </cell>
          <cell r="Z112">
            <v>0.03</v>
          </cell>
          <cell r="AD112">
            <v>0</v>
          </cell>
        </row>
        <row r="113">
          <cell r="M113" t="str">
            <v>Advance to Third parties</v>
          </cell>
          <cell r="R113">
            <v>0</v>
          </cell>
          <cell r="Z113">
            <v>15</v>
          </cell>
          <cell r="AD113">
            <v>0</v>
          </cell>
        </row>
        <row r="114">
          <cell r="M114" t="str">
            <v>Advance to Third parties</v>
          </cell>
          <cell r="R114">
            <v>0</v>
          </cell>
          <cell r="Z114">
            <v>0.93</v>
          </cell>
          <cell r="AD114">
            <v>0</v>
          </cell>
        </row>
        <row r="115">
          <cell r="M115" t="str">
            <v>Advance to Third parties</v>
          </cell>
          <cell r="R115">
            <v>0</v>
          </cell>
          <cell r="Z115">
            <v>187</v>
          </cell>
          <cell r="AD115">
            <v>0</v>
          </cell>
        </row>
        <row r="116">
          <cell r="M116" t="str">
            <v>Advance to Third parties</v>
          </cell>
          <cell r="R116">
            <v>0</v>
          </cell>
          <cell r="Z116">
            <v>84.5</v>
          </cell>
          <cell r="AD116">
            <v>0</v>
          </cell>
        </row>
        <row r="117">
          <cell r="M117" t="str">
            <v>Non current Loans to related parties</v>
          </cell>
          <cell r="R117">
            <v>0</v>
          </cell>
          <cell r="Z117">
            <v>108.89</v>
          </cell>
          <cell r="AD117">
            <v>0</v>
          </cell>
        </row>
        <row r="118">
          <cell r="M118" t="str">
            <v>Advance to Third parties</v>
          </cell>
          <cell r="R118">
            <v>0</v>
          </cell>
          <cell r="Z118">
            <v>10</v>
          </cell>
          <cell r="AD118">
            <v>0</v>
          </cell>
        </row>
        <row r="119">
          <cell r="M119" t="str">
            <v>Advance to Third parties</v>
          </cell>
          <cell r="R119">
            <v>0</v>
          </cell>
          <cell r="Z119">
            <v>100.87</v>
          </cell>
          <cell r="AD119">
            <v>0</v>
          </cell>
        </row>
        <row r="120">
          <cell r="M120" t="str">
            <v>Advance to Third parties</v>
          </cell>
          <cell r="R120">
            <v>0</v>
          </cell>
          <cell r="Z120">
            <v>0.53</v>
          </cell>
          <cell r="AD120">
            <v>0</v>
          </cell>
        </row>
        <row r="121">
          <cell r="M121" t="str">
            <v>- Considered good</v>
          </cell>
          <cell r="R121">
            <v>0</v>
          </cell>
          <cell r="Z121">
            <v>0.28999999999999998</v>
          </cell>
          <cell r="AD121">
            <v>0</v>
          </cell>
        </row>
        <row r="122">
          <cell r="M122" t="str">
            <v>- Considered good</v>
          </cell>
          <cell r="R122">
            <v>0</v>
          </cell>
          <cell r="Z122">
            <v>0.05</v>
          </cell>
          <cell r="AD122">
            <v>0</v>
          </cell>
        </row>
        <row r="123">
          <cell r="M123" t="str">
            <v>- Considered good</v>
          </cell>
          <cell r="R123">
            <v>0</v>
          </cell>
          <cell r="Z123">
            <v>0.04</v>
          </cell>
          <cell r="AD123">
            <v>0</v>
          </cell>
        </row>
        <row r="124">
          <cell r="M124" t="str">
            <v>- Considered good</v>
          </cell>
          <cell r="R124">
            <v>0</v>
          </cell>
          <cell r="Z124">
            <v>0.09</v>
          </cell>
          <cell r="AD124">
            <v>0</v>
          </cell>
        </row>
        <row r="125">
          <cell r="M125" t="str">
            <v>- Considered good</v>
          </cell>
          <cell r="R125">
            <v>0</v>
          </cell>
          <cell r="Z125">
            <v>0.05</v>
          </cell>
          <cell r="AD125">
            <v>0</v>
          </cell>
        </row>
        <row r="126">
          <cell r="M126" t="str">
            <v>- Considered good</v>
          </cell>
          <cell r="R126">
            <v>0</v>
          </cell>
          <cell r="Z126">
            <v>0.06</v>
          </cell>
          <cell r="AD126">
            <v>0</v>
          </cell>
        </row>
        <row r="127">
          <cell r="M127" t="str">
            <v>- Considered good</v>
          </cell>
          <cell r="R127">
            <v>0</v>
          </cell>
          <cell r="Z127">
            <v>0.16</v>
          </cell>
          <cell r="AD127">
            <v>0</v>
          </cell>
        </row>
        <row r="128">
          <cell r="M128" t="str">
            <v>- Considered good</v>
          </cell>
          <cell r="R128">
            <v>0</v>
          </cell>
          <cell r="Z128">
            <v>0.04</v>
          </cell>
          <cell r="AD128">
            <v>0</v>
          </cell>
        </row>
        <row r="129">
          <cell r="M129" t="str">
            <v>- Considered good</v>
          </cell>
          <cell r="R129">
            <v>0</v>
          </cell>
          <cell r="Z129">
            <v>30.27</v>
          </cell>
          <cell r="AD129">
            <v>0</v>
          </cell>
        </row>
        <row r="130">
          <cell r="M130" t="str">
            <v>- Considered good</v>
          </cell>
          <cell r="R130">
            <v>0</v>
          </cell>
          <cell r="Z130">
            <v>2.79</v>
          </cell>
          <cell r="AD130">
            <v>0</v>
          </cell>
        </row>
        <row r="131">
          <cell r="M131" t="str">
            <v>- Considered good</v>
          </cell>
          <cell r="R131">
            <v>0</v>
          </cell>
          <cell r="Z131">
            <v>-0.09</v>
          </cell>
          <cell r="AD131">
            <v>0</v>
          </cell>
        </row>
        <row r="132">
          <cell r="M132" t="str">
            <v>- Considered good</v>
          </cell>
          <cell r="R132">
            <v>0</v>
          </cell>
          <cell r="Z132">
            <v>0.69</v>
          </cell>
          <cell r="AD132">
            <v>0</v>
          </cell>
        </row>
        <row r="133">
          <cell r="M133" t="str">
            <v>On current accounts</v>
          </cell>
          <cell r="R133">
            <v>0</v>
          </cell>
          <cell r="Z133">
            <v>0.03</v>
          </cell>
          <cell r="AD133">
            <v>0</v>
          </cell>
        </row>
        <row r="134">
          <cell r="M134" t="str">
            <v>On current accounts</v>
          </cell>
          <cell r="R134">
            <v>0</v>
          </cell>
          <cell r="Z134">
            <v>2.13</v>
          </cell>
          <cell r="AD134">
            <v>0</v>
          </cell>
        </row>
        <row r="135">
          <cell r="M135" t="str">
            <v>Balance with Government authorities</v>
          </cell>
          <cell r="R135">
            <v>0</v>
          </cell>
          <cell r="Z135">
            <v>1.07</v>
          </cell>
          <cell r="AD135">
            <v>0</v>
          </cell>
        </row>
        <row r="136">
          <cell r="M136" t="str">
            <v>Balance with Government authorities</v>
          </cell>
          <cell r="R136">
            <v>0</v>
          </cell>
          <cell r="Z136">
            <v>0.27</v>
          </cell>
          <cell r="AD136">
            <v>0</v>
          </cell>
        </row>
        <row r="137">
          <cell r="M137" t="str">
            <v>Balance with Government authorities</v>
          </cell>
          <cell r="R137">
            <v>0</v>
          </cell>
          <cell r="Z137">
            <v>1.07</v>
          </cell>
          <cell r="AD137">
            <v>0</v>
          </cell>
        </row>
        <row r="138">
          <cell r="M138" t="str">
            <v>Prepaid expenses</v>
          </cell>
          <cell r="R138">
            <v>0</v>
          </cell>
          <cell r="Z138">
            <v>3.34</v>
          </cell>
          <cell r="AD138">
            <v>0</v>
          </cell>
        </row>
        <row r="139">
          <cell r="M139" t="str">
            <v>Balance with Government authorities</v>
          </cell>
          <cell r="R139">
            <v>0</v>
          </cell>
          <cell r="Z139">
            <v>347.73</v>
          </cell>
          <cell r="AD139">
            <v>0</v>
          </cell>
        </row>
        <row r="140">
          <cell r="M140" t="str">
            <v>Income Tax Asset (Net)</v>
          </cell>
          <cell r="R140">
            <v>0</v>
          </cell>
          <cell r="Z140">
            <v>0.96</v>
          </cell>
          <cell r="AD140">
            <v>0</v>
          </cell>
        </row>
        <row r="141">
          <cell r="M141" t="str">
            <v>Balance with Government authorities</v>
          </cell>
          <cell r="R141">
            <v>0</v>
          </cell>
          <cell r="Z141">
            <v>18.54</v>
          </cell>
          <cell r="AD141">
            <v>0</v>
          </cell>
        </row>
        <row r="142">
          <cell r="M142" t="str">
            <v>Income Tax Asset (Net)</v>
          </cell>
          <cell r="R142">
            <v>0</v>
          </cell>
          <cell r="Z142">
            <v>0.3</v>
          </cell>
          <cell r="AD142">
            <v>0</v>
          </cell>
        </row>
        <row r="143">
          <cell r="M143" t="str">
            <v xml:space="preserve">Sale of goods </v>
          </cell>
          <cell r="R143">
            <v>0</v>
          </cell>
          <cell r="Z143">
            <v>-911.95</v>
          </cell>
          <cell r="AD143">
            <v>0</v>
          </cell>
        </row>
        <row r="144">
          <cell r="M144" t="str">
            <v xml:space="preserve">Sale of goods </v>
          </cell>
          <cell r="R144">
            <v>0</v>
          </cell>
          <cell r="Z144">
            <v>-16.670000000000002</v>
          </cell>
          <cell r="AD144">
            <v>0</v>
          </cell>
        </row>
        <row r="145">
          <cell r="M145" t="str">
            <v>cost of raw material consumed</v>
          </cell>
          <cell r="R145">
            <v>-42.53</v>
          </cell>
          <cell r="Z145">
            <v>188.28</v>
          </cell>
          <cell r="AD145">
            <v>0</v>
          </cell>
        </row>
        <row r="146">
          <cell r="M146" t="str">
            <v>cost of raw material consumed</v>
          </cell>
          <cell r="R146">
            <v>0</v>
          </cell>
          <cell r="Z146">
            <v>94.15</v>
          </cell>
          <cell r="AD146">
            <v>0</v>
          </cell>
        </row>
        <row r="147">
          <cell r="M147" t="str">
            <v>Power and fuel</v>
          </cell>
          <cell r="R147">
            <v>0</v>
          </cell>
          <cell r="Z147">
            <v>67.290000000000006</v>
          </cell>
          <cell r="AD147">
            <v>0</v>
          </cell>
        </row>
        <row r="148">
          <cell r="M148" t="str">
            <v>Power and fuel</v>
          </cell>
          <cell r="R148">
            <v>0</v>
          </cell>
          <cell r="Z148">
            <v>171.35</v>
          </cell>
          <cell r="AD148">
            <v>0</v>
          </cell>
        </row>
        <row r="149">
          <cell r="M149" t="str">
            <v>Consumption of stores &amp; spares and consumables</v>
          </cell>
          <cell r="R149">
            <v>0</v>
          </cell>
          <cell r="Z149">
            <v>26.66</v>
          </cell>
          <cell r="AD149">
            <v>0</v>
          </cell>
        </row>
        <row r="150">
          <cell r="M150" t="str">
            <v>Labour Charges</v>
          </cell>
          <cell r="R150">
            <v>0</v>
          </cell>
          <cell r="Z150">
            <v>5.95</v>
          </cell>
          <cell r="AD150">
            <v>0</v>
          </cell>
        </row>
        <row r="151">
          <cell r="M151" t="str">
            <v>Selling and distribution expenses</v>
          </cell>
          <cell r="R151">
            <v>0</v>
          </cell>
          <cell r="Z151">
            <v>32.64</v>
          </cell>
          <cell r="AD151">
            <v>0</v>
          </cell>
        </row>
        <row r="152">
          <cell r="M152" t="str">
            <v>Selling and distribution expenses</v>
          </cell>
          <cell r="R152">
            <v>0</v>
          </cell>
          <cell r="Z152">
            <v>68.099999999999994</v>
          </cell>
          <cell r="AD152">
            <v>0</v>
          </cell>
        </row>
        <row r="153">
          <cell r="M153" t="str">
            <v>Miscellaneous income</v>
          </cell>
          <cell r="R153">
            <v>0</v>
          </cell>
          <cell r="Z153">
            <v>0</v>
          </cell>
          <cell r="AD153">
            <v>0</v>
          </cell>
        </row>
        <row r="154">
          <cell r="M154" t="str">
            <v>Miscellaneous income</v>
          </cell>
          <cell r="R154">
            <v>0</v>
          </cell>
          <cell r="Z154">
            <v>-0.21</v>
          </cell>
          <cell r="AD154">
            <v>0</v>
          </cell>
        </row>
        <row r="155">
          <cell r="M155" t="str">
            <v>Miscellaneous income</v>
          </cell>
          <cell r="R155">
            <v>0</v>
          </cell>
          <cell r="Z155">
            <v>-0.49</v>
          </cell>
          <cell r="AD155">
            <v>0</v>
          </cell>
        </row>
        <row r="156">
          <cell r="M156" t="str">
            <v>Other Interest Income</v>
          </cell>
          <cell r="R156">
            <v>0</v>
          </cell>
          <cell r="Z156">
            <v>-0.96</v>
          </cell>
          <cell r="AD156">
            <v>0</v>
          </cell>
        </row>
        <row r="157">
          <cell r="M157">
            <v>0</v>
          </cell>
          <cell r="R157">
            <v>0</v>
          </cell>
          <cell r="Z157">
            <v>0</v>
          </cell>
          <cell r="AD157">
            <v>0</v>
          </cell>
        </row>
        <row r="158">
          <cell r="M158" t="str">
            <v xml:space="preserve">Bank charges </v>
          </cell>
          <cell r="R158">
            <v>0</v>
          </cell>
          <cell r="Z158">
            <v>2.14</v>
          </cell>
          <cell r="AD158">
            <v>0</v>
          </cell>
        </row>
        <row r="159">
          <cell r="M159" t="str">
            <v>Interest on borrowing</v>
          </cell>
          <cell r="R159">
            <v>0</v>
          </cell>
          <cell r="Z159">
            <v>310.54000000000002</v>
          </cell>
          <cell r="AD159">
            <v>0</v>
          </cell>
        </row>
        <row r="160">
          <cell r="M160" t="str">
            <v>Rates and taxes</v>
          </cell>
          <cell r="R160">
            <v>0</v>
          </cell>
          <cell r="Z160">
            <v>0.27</v>
          </cell>
          <cell r="AD160">
            <v>0</v>
          </cell>
        </row>
        <row r="161">
          <cell r="M161" t="str">
            <v>Total outstanding dues of creditors other than micro enterprises and small enterprises</v>
          </cell>
          <cell r="R161">
            <v>0</v>
          </cell>
          <cell r="Z161">
            <v>0.34</v>
          </cell>
          <cell r="AD161">
            <v>0</v>
          </cell>
        </row>
        <row r="162">
          <cell r="M162" t="str">
            <v>Legal and professional charges</v>
          </cell>
          <cell r="R162">
            <v>0.28000000000000003</v>
          </cell>
          <cell r="Z162">
            <v>17.68</v>
          </cell>
          <cell r="AD162">
            <v>0</v>
          </cell>
        </row>
        <row r="163">
          <cell r="M163" t="str">
            <v>Legal and professional charges</v>
          </cell>
          <cell r="R163">
            <v>0</v>
          </cell>
          <cell r="Z163">
            <v>4.72</v>
          </cell>
          <cell r="AD163">
            <v>0</v>
          </cell>
        </row>
        <row r="164">
          <cell r="M164" t="str">
            <v>Rates and taxes</v>
          </cell>
          <cell r="R164">
            <v>0</v>
          </cell>
          <cell r="Z164">
            <v>0.51</v>
          </cell>
          <cell r="AD164">
            <v>0</v>
          </cell>
        </row>
        <row r="165">
          <cell r="M165" t="str">
            <v>Miscellaneous expenses</v>
          </cell>
          <cell r="R165">
            <v>0</v>
          </cell>
          <cell r="Z165">
            <v>0.4</v>
          </cell>
          <cell r="AD165">
            <v>0</v>
          </cell>
        </row>
        <row r="166">
          <cell r="M166" t="str">
            <v>Rent Expense</v>
          </cell>
          <cell r="R166">
            <v>0</v>
          </cell>
          <cell r="Z166">
            <v>2.52</v>
          </cell>
          <cell r="AD166">
            <v>0</v>
          </cell>
        </row>
        <row r="167">
          <cell r="M167" t="str">
            <v>Rent Expense</v>
          </cell>
          <cell r="R167">
            <v>0</v>
          </cell>
          <cell r="Z167">
            <v>26.93</v>
          </cell>
          <cell r="AD167">
            <v>0</v>
          </cell>
        </row>
        <row r="168">
          <cell r="M168" t="str">
            <v>Repairs and maintenance - others</v>
          </cell>
          <cell r="R168">
            <v>0</v>
          </cell>
          <cell r="Z168">
            <v>7.85</v>
          </cell>
          <cell r="AD168">
            <v>0</v>
          </cell>
        </row>
        <row r="169">
          <cell r="M169" t="str">
            <v>Repairs and maintenance - Plant and Machinery</v>
          </cell>
          <cell r="R169">
            <v>0</v>
          </cell>
          <cell r="Z169">
            <v>4.09</v>
          </cell>
          <cell r="AD169">
            <v>0</v>
          </cell>
        </row>
        <row r="170">
          <cell r="M170" t="str">
            <v>Repairs and maintenance - others</v>
          </cell>
          <cell r="R170">
            <v>0</v>
          </cell>
          <cell r="Z170">
            <v>2.15</v>
          </cell>
          <cell r="AD170">
            <v>0</v>
          </cell>
        </row>
        <row r="171">
          <cell r="M171" t="str">
            <v>Security charges</v>
          </cell>
          <cell r="R171">
            <v>0</v>
          </cell>
          <cell r="Z171">
            <v>3.45</v>
          </cell>
          <cell r="AD171">
            <v>0</v>
          </cell>
        </row>
        <row r="172">
          <cell r="M172" t="str">
            <v>others</v>
          </cell>
          <cell r="R172">
            <v>0</v>
          </cell>
          <cell r="Z172">
            <v>0.23</v>
          </cell>
          <cell r="AD172">
            <v>0</v>
          </cell>
        </row>
        <row r="173">
          <cell r="M173" t="str">
            <v>Travel and conveyance</v>
          </cell>
          <cell r="R173">
            <v>0</v>
          </cell>
          <cell r="Z173">
            <v>0.55000000000000004</v>
          </cell>
          <cell r="AD173">
            <v>0</v>
          </cell>
        </row>
        <row r="174">
          <cell r="M174" t="str">
            <v>Travel and conveyance</v>
          </cell>
          <cell r="R174">
            <v>0</v>
          </cell>
          <cell r="Z174">
            <v>12.62</v>
          </cell>
          <cell r="AD174">
            <v>0</v>
          </cell>
        </row>
        <row r="175">
          <cell r="M175" t="str">
            <v>Total outstanding dues of creditors other than micro enterprises and small enterprises</v>
          </cell>
          <cell r="R175">
            <v>0</v>
          </cell>
          <cell r="Z175">
            <v>0</v>
          </cell>
          <cell r="AD175">
            <v>0</v>
          </cell>
        </row>
        <row r="176">
          <cell r="M176" t="str">
            <v>Miscellaneous expenses</v>
          </cell>
          <cell r="R176">
            <v>0</v>
          </cell>
          <cell r="Z176">
            <v>0.18</v>
          </cell>
          <cell r="AD176">
            <v>0</v>
          </cell>
        </row>
        <row r="177">
          <cell r="M177" t="str">
            <v>Depreciation (Refer Note 6)</v>
          </cell>
          <cell r="R177">
            <v>0</v>
          </cell>
          <cell r="Z177">
            <v>183.29</v>
          </cell>
          <cell r="AD177">
            <v>0</v>
          </cell>
        </row>
        <row r="178">
          <cell r="M178" t="str">
            <v>Miscellaneous expenses</v>
          </cell>
          <cell r="R178">
            <v>0</v>
          </cell>
          <cell r="Z178">
            <v>0.56999999999999995</v>
          </cell>
          <cell r="AD178">
            <v>0</v>
          </cell>
        </row>
        <row r="179">
          <cell r="M179" t="str">
            <v>Contribution to Provident Fund and ESI</v>
          </cell>
          <cell r="R179">
            <v>0</v>
          </cell>
          <cell r="Z179">
            <v>6.21</v>
          </cell>
          <cell r="AD179">
            <v>0</v>
          </cell>
        </row>
        <row r="180">
          <cell r="M180" t="str">
            <v>Insurance expenses</v>
          </cell>
          <cell r="R180">
            <v>-5</v>
          </cell>
          <cell r="Z180">
            <v>4.99</v>
          </cell>
          <cell r="AD180">
            <v>0</v>
          </cell>
        </row>
        <row r="181">
          <cell r="M181" t="str">
            <v>others</v>
          </cell>
          <cell r="R181">
            <v>0</v>
          </cell>
          <cell r="Z181">
            <v>8.8800000000000008</v>
          </cell>
          <cell r="AD181">
            <v>0</v>
          </cell>
        </row>
        <row r="182">
          <cell r="M182" t="str">
            <v>Rates and taxes</v>
          </cell>
          <cell r="R182">
            <v>0</v>
          </cell>
          <cell r="Z182">
            <v>0.37</v>
          </cell>
          <cell r="AD182">
            <v>0</v>
          </cell>
        </row>
        <row r="183">
          <cell r="M183" t="str">
            <v>Rates and taxes</v>
          </cell>
          <cell r="R183">
            <v>0</v>
          </cell>
          <cell r="Z183">
            <v>0.18</v>
          </cell>
          <cell r="AD183">
            <v>0</v>
          </cell>
        </row>
        <row r="184">
          <cell r="M184" t="str">
            <v>Total outstanding dues of creditors other than micro enterprises and small enterprises</v>
          </cell>
          <cell r="R184">
            <v>0</v>
          </cell>
          <cell r="Z184">
            <v>0.05</v>
          </cell>
          <cell r="AD184">
            <v>0</v>
          </cell>
        </row>
        <row r="185">
          <cell r="M185" t="str">
            <v>Miscellaneous expenses</v>
          </cell>
          <cell r="R185">
            <v>0</v>
          </cell>
          <cell r="Z185">
            <v>0.06</v>
          </cell>
          <cell r="AD185">
            <v>0</v>
          </cell>
        </row>
        <row r="186">
          <cell r="M186" t="str">
            <v>Miscellaneous expenses</v>
          </cell>
          <cell r="R186">
            <v>0</v>
          </cell>
          <cell r="Z186">
            <v>0.54</v>
          </cell>
          <cell r="AD186">
            <v>0</v>
          </cell>
        </row>
        <row r="187">
          <cell r="M187" t="str">
            <v>Miscellaneous expenses</v>
          </cell>
          <cell r="R187">
            <v>0</v>
          </cell>
          <cell r="Z187">
            <v>0.06</v>
          </cell>
          <cell r="AD187">
            <v>0</v>
          </cell>
        </row>
        <row r="188">
          <cell r="M188" t="str">
            <v>Miscellaneous expenses</v>
          </cell>
          <cell r="R188">
            <v>0</v>
          </cell>
          <cell r="Z188">
            <v>0.28999999999999998</v>
          </cell>
          <cell r="AD188">
            <v>0</v>
          </cell>
        </row>
        <row r="189">
          <cell r="M189" t="str">
            <v>Miscellaneous expenses</v>
          </cell>
          <cell r="R189">
            <v>0</v>
          </cell>
          <cell r="Z189">
            <v>-0.01</v>
          </cell>
          <cell r="AD189">
            <v>0</v>
          </cell>
        </row>
        <row r="190">
          <cell r="M190" t="str">
            <v>Rates and taxes</v>
          </cell>
          <cell r="R190">
            <v>-0.28000000000000003</v>
          </cell>
          <cell r="Z190">
            <v>1.31</v>
          </cell>
          <cell r="AD190">
            <v>0</v>
          </cell>
        </row>
        <row r="191">
          <cell r="R191">
            <v>0</v>
          </cell>
          <cell r="Z191">
            <v>0.03</v>
          </cell>
          <cell r="AD191">
            <v>0</v>
          </cell>
        </row>
        <row r="192">
          <cell r="M192" t="str">
            <v>Repairs and maintenance - others</v>
          </cell>
          <cell r="R192">
            <v>0</v>
          </cell>
          <cell r="Z192">
            <v>8.74</v>
          </cell>
          <cell r="AD192">
            <v>0</v>
          </cell>
        </row>
        <row r="193">
          <cell r="M193" t="str">
            <v>Repairs and maintenance - others</v>
          </cell>
          <cell r="R193">
            <v>0</v>
          </cell>
          <cell r="Z193">
            <v>0.04</v>
          </cell>
          <cell r="AD193">
            <v>0</v>
          </cell>
        </row>
        <row r="194">
          <cell r="M194" t="str">
            <v>Rates and taxes</v>
          </cell>
          <cell r="R194">
            <v>0</v>
          </cell>
          <cell r="Z194">
            <v>1.21</v>
          </cell>
          <cell r="AD194">
            <v>0</v>
          </cell>
        </row>
        <row r="195">
          <cell r="M195" t="str">
            <v>Salaries, wages, bonus and other allowances</v>
          </cell>
          <cell r="R195">
            <v>0</v>
          </cell>
          <cell r="Z195">
            <v>107.46</v>
          </cell>
          <cell r="AD195">
            <v>0</v>
          </cell>
        </row>
        <row r="196">
          <cell r="M196" t="str">
            <v>Repairs and maintenance - others</v>
          </cell>
          <cell r="R196">
            <v>0</v>
          </cell>
          <cell r="Z196">
            <v>0.22</v>
          </cell>
          <cell r="AD196">
            <v>0</v>
          </cell>
        </row>
        <row r="197">
          <cell r="M197" t="str">
            <v>Miscellaneous expenses</v>
          </cell>
          <cell r="R197">
            <v>0</v>
          </cell>
          <cell r="Z197">
            <v>0.68</v>
          </cell>
          <cell r="AD197">
            <v>0</v>
          </cell>
        </row>
        <row r="198">
          <cell r="M198" t="str">
            <v>Total outstanding dues of creditors other than micro enterprises and small enterprises</v>
          </cell>
          <cell r="R198">
            <v>0</v>
          </cell>
          <cell r="Z198">
            <v>0.03</v>
          </cell>
          <cell r="AD198">
            <v>0</v>
          </cell>
        </row>
        <row r="199">
          <cell r="M199" t="str">
            <v>Staff welfare expenses</v>
          </cell>
          <cell r="R199">
            <v>0</v>
          </cell>
          <cell r="Z199">
            <v>0.69</v>
          </cell>
          <cell r="AD199">
            <v>0</v>
          </cell>
        </row>
        <row r="200">
          <cell r="M200" t="str">
            <v>Interest on borrowing</v>
          </cell>
          <cell r="N200" t="str">
            <v>Interest on borrowings</v>
          </cell>
          <cell r="R200">
            <v>0</v>
          </cell>
          <cell r="Z200">
            <v>31.43</v>
          </cell>
          <cell r="AD200">
            <v>0</v>
          </cell>
        </row>
        <row r="201">
          <cell r="M201" t="str">
            <v xml:space="preserve">Retained earnings - CY adjustment </v>
          </cell>
          <cell r="R201">
            <v>2.2200000000000002</v>
          </cell>
          <cell r="Z201">
            <v>362.69</v>
          </cell>
          <cell r="AD201">
            <v>0</v>
          </cell>
        </row>
        <row r="202">
          <cell r="M202" t="str">
            <v>Cost of raw material consumed</v>
          </cell>
          <cell r="R202">
            <v>-354.51</v>
          </cell>
          <cell r="Z202">
            <v>-181.54</v>
          </cell>
          <cell r="AD202">
            <v>0</v>
          </cell>
        </row>
        <row r="203">
          <cell r="M203" t="str">
            <v>Raw material in stock (At cost)</v>
          </cell>
          <cell r="R203">
            <v>324.13</v>
          </cell>
          <cell r="Z203">
            <v>181.54</v>
          </cell>
          <cell r="AD203">
            <v>0</v>
          </cell>
        </row>
        <row r="204">
          <cell r="M204" t="str">
            <v>Deferred tax expenses</v>
          </cell>
          <cell r="R204">
            <v>-252.5</v>
          </cell>
          <cell r="Z204">
            <v>-25.51</v>
          </cell>
          <cell r="AD204">
            <v>0</v>
          </cell>
        </row>
        <row r="205">
          <cell r="M205" t="str">
            <v>Advance to Third parties</v>
          </cell>
          <cell r="R205">
            <v>5</v>
          </cell>
          <cell r="Z205">
            <v>0</v>
          </cell>
          <cell r="AD205">
            <v>0</v>
          </cell>
        </row>
        <row r="206">
          <cell r="M206" t="str">
            <v>Other financial assets</v>
          </cell>
          <cell r="R206">
            <v>36.92</v>
          </cell>
          <cell r="Z206">
            <v>0</v>
          </cell>
          <cell r="AD206">
            <v>0</v>
          </cell>
        </row>
        <row r="207">
          <cell r="R207">
            <v>0</v>
          </cell>
          <cell r="Z207">
            <v>0</v>
          </cell>
          <cell r="AD207">
            <v>0</v>
          </cell>
        </row>
        <row r="208">
          <cell r="R208">
            <v>0</v>
          </cell>
          <cell r="Z208">
            <v>0</v>
          </cell>
          <cell r="AD208">
            <v>0</v>
          </cell>
        </row>
        <row r="209">
          <cell r="R209">
            <v>0</v>
          </cell>
          <cell r="Z209">
            <v>0</v>
          </cell>
          <cell r="AD209">
            <v>0</v>
          </cell>
        </row>
        <row r="210">
          <cell r="M210" t="str">
            <v>Equity share capital</v>
          </cell>
          <cell r="R210">
            <v>0</v>
          </cell>
          <cell r="Z210">
            <v>0</v>
          </cell>
          <cell r="AD210">
            <v>-17.149999999999999</v>
          </cell>
        </row>
        <row r="211">
          <cell r="M211" t="str">
            <v>Equity share capital</v>
          </cell>
          <cell r="R211">
            <v>0</v>
          </cell>
          <cell r="Z211">
            <v>0</v>
          </cell>
          <cell r="AD211">
            <v>-502.09</v>
          </cell>
        </row>
        <row r="212">
          <cell r="M212" t="str">
            <v>Equity share capital</v>
          </cell>
          <cell r="R212">
            <v>0</v>
          </cell>
          <cell r="Z212">
            <v>0</v>
          </cell>
          <cell r="AD212">
            <v>-704.8</v>
          </cell>
        </row>
        <row r="213">
          <cell r="M213" t="str">
            <v>Credit card loan</v>
          </cell>
          <cell r="R213">
            <v>0</v>
          </cell>
          <cell r="Z213">
            <v>0</v>
          </cell>
          <cell r="AD213">
            <v>-55.64</v>
          </cell>
        </row>
        <row r="214">
          <cell r="M214" t="str">
            <v>Canara Bank term loan</v>
          </cell>
          <cell r="R214">
            <v>0</v>
          </cell>
          <cell r="Z214">
            <v>0</v>
          </cell>
          <cell r="AD214">
            <v>-2940</v>
          </cell>
        </row>
        <row r="215">
          <cell r="M215" t="str">
            <v>Rates and taxes</v>
          </cell>
          <cell r="R215">
            <v>0</v>
          </cell>
          <cell r="Z215">
            <v>0</v>
          </cell>
          <cell r="AD215">
            <v>0.01</v>
          </cell>
        </row>
        <row r="216">
          <cell r="M216" t="str">
            <v>Statutory dues payable</v>
          </cell>
          <cell r="R216">
            <v>0</v>
          </cell>
          <cell r="Z216">
            <v>0</v>
          </cell>
          <cell r="AD216">
            <v>-50.29</v>
          </cell>
        </row>
        <row r="217">
          <cell r="M217" t="str">
            <v>Statutory dues payable</v>
          </cell>
          <cell r="R217">
            <v>0</v>
          </cell>
          <cell r="Z217">
            <v>0</v>
          </cell>
          <cell r="AD217">
            <v>-0.22</v>
          </cell>
        </row>
        <row r="218">
          <cell r="M218" t="str">
            <v>Statutory dues payable</v>
          </cell>
          <cell r="R218">
            <v>0</v>
          </cell>
          <cell r="Z218">
            <v>0</v>
          </cell>
          <cell r="AD218">
            <v>-0.13</v>
          </cell>
        </row>
        <row r="219">
          <cell r="M219" t="str">
            <v>Statutory dues payable</v>
          </cell>
          <cell r="R219">
            <v>0</v>
          </cell>
          <cell r="Z219">
            <v>0</v>
          </cell>
          <cell r="AD219">
            <v>-0.75</v>
          </cell>
        </row>
        <row r="220">
          <cell r="M220" t="str">
            <v>Statutory dues payable</v>
          </cell>
          <cell r="R220">
            <v>0</v>
          </cell>
          <cell r="Z220">
            <v>0</v>
          </cell>
          <cell r="AD220">
            <v>-0.16</v>
          </cell>
        </row>
        <row r="221">
          <cell r="M221" t="str">
            <v>Statutory dues payable</v>
          </cell>
          <cell r="R221">
            <v>0</v>
          </cell>
          <cell r="Z221">
            <v>0</v>
          </cell>
          <cell r="AD221">
            <v>-0.13</v>
          </cell>
        </row>
        <row r="222">
          <cell r="M222" t="str">
            <v>Statutory dues payable</v>
          </cell>
          <cell r="R222">
            <v>0</v>
          </cell>
          <cell r="Z222">
            <v>0</v>
          </cell>
          <cell r="AD222">
            <v>-0.01</v>
          </cell>
        </row>
        <row r="223">
          <cell r="M223" t="str">
            <v>Total outstanding dues of creditors other than micro enterprises and small enterprises</v>
          </cell>
          <cell r="R223">
            <v>0</v>
          </cell>
          <cell r="Z223">
            <v>0</v>
          </cell>
          <cell r="AD223">
            <v>-0.85</v>
          </cell>
        </row>
        <row r="224">
          <cell r="M224" t="str">
            <v>Total outstanding dues of creditors other than micro enterprises and small enterprises</v>
          </cell>
          <cell r="R224">
            <v>0</v>
          </cell>
          <cell r="Z224">
            <v>0</v>
          </cell>
          <cell r="AD224">
            <v>-7.0000000000000007E-2</v>
          </cell>
        </row>
        <row r="225">
          <cell r="M225" t="str">
            <v>Total outstanding dues of creditors other than micro enterprises and small enterprises</v>
          </cell>
          <cell r="R225">
            <v>0</v>
          </cell>
          <cell r="Z225">
            <v>0</v>
          </cell>
          <cell r="AD225">
            <v>-1</v>
          </cell>
        </row>
        <row r="226">
          <cell r="M226" t="str">
            <v>Total outstanding dues of creditors other than micro enterprises and small enterprises</v>
          </cell>
          <cell r="R226">
            <v>0</v>
          </cell>
          <cell r="Z226">
            <v>0</v>
          </cell>
          <cell r="AD226">
            <v>-0.9</v>
          </cell>
        </row>
        <row r="227">
          <cell r="M227" t="str">
            <v>Advance to Third parties</v>
          </cell>
          <cell r="R227">
            <v>0</v>
          </cell>
          <cell r="Z227">
            <v>0</v>
          </cell>
          <cell r="AD227">
            <v>0.1</v>
          </cell>
        </row>
        <row r="228">
          <cell r="M228" t="str">
            <v>Total outstanding dues of creditors other than micro enterprises and small enterprises</v>
          </cell>
          <cell r="R228">
            <v>0</v>
          </cell>
          <cell r="Z228">
            <v>0</v>
          </cell>
          <cell r="AD228">
            <v>-7.0000000000000007E-2</v>
          </cell>
        </row>
        <row r="229">
          <cell r="M229" t="str">
            <v>Total outstanding dues of creditors other than micro enterprises and small enterprises</v>
          </cell>
          <cell r="R229">
            <v>0</v>
          </cell>
          <cell r="Z229">
            <v>0</v>
          </cell>
          <cell r="AD229">
            <v>-1.68</v>
          </cell>
        </row>
        <row r="230">
          <cell r="M230" t="str">
            <v>Total outstanding dues of creditors other than micro enterprises and small enterprises</v>
          </cell>
          <cell r="R230">
            <v>0</v>
          </cell>
          <cell r="Z230">
            <v>0</v>
          </cell>
          <cell r="AD230">
            <v>-1.44</v>
          </cell>
        </row>
        <row r="231">
          <cell r="M231" t="str">
            <v>Advance to Third parties</v>
          </cell>
          <cell r="R231">
            <v>0</v>
          </cell>
          <cell r="Z231">
            <v>0</v>
          </cell>
          <cell r="AD231">
            <v>0.71</v>
          </cell>
        </row>
        <row r="232">
          <cell r="M232" t="str">
            <v>Total outstanding dues of creditors other than micro enterprises and small enterprises</v>
          </cell>
          <cell r="R232">
            <v>0</v>
          </cell>
          <cell r="Z232">
            <v>0</v>
          </cell>
          <cell r="AD232">
            <v>-0.09</v>
          </cell>
        </row>
        <row r="233">
          <cell r="M233" t="str">
            <v>Total outstanding dues of creditors other than micro enterprises and small enterprises</v>
          </cell>
          <cell r="R233">
            <v>0</v>
          </cell>
          <cell r="Z233">
            <v>0</v>
          </cell>
          <cell r="AD233">
            <v>-1.43</v>
          </cell>
        </row>
        <row r="234">
          <cell r="M234" t="str">
            <v>Advance to Third parties</v>
          </cell>
          <cell r="R234">
            <v>0</v>
          </cell>
          <cell r="Z234">
            <v>0</v>
          </cell>
          <cell r="AD234">
            <v>0.01</v>
          </cell>
        </row>
        <row r="235">
          <cell r="M235" t="str">
            <v>Total outstanding dues of creditors other than micro enterprises and small enterprises</v>
          </cell>
          <cell r="R235">
            <v>0</v>
          </cell>
          <cell r="Z235">
            <v>0</v>
          </cell>
          <cell r="AD235">
            <v>-2.89</v>
          </cell>
        </row>
        <row r="236">
          <cell r="M236" t="str">
            <v>Advance to Third parties</v>
          </cell>
          <cell r="R236">
            <v>0</v>
          </cell>
          <cell r="Z236">
            <v>0</v>
          </cell>
          <cell r="AD236">
            <v>0.33</v>
          </cell>
        </row>
        <row r="237">
          <cell r="M237" t="str">
            <v>Total outstanding dues of creditors other than micro enterprises and small enterprises</v>
          </cell>
          <cell r="R237">
            <v>0</v>
          </cell>
          <cell r="Z237">
            <v>0</v>
          </cell>
          <cell r="AD237">
            <v>-0.2</v>
          </cell>
        </row>
        <row r="238">
          <cell r="M238" t="str">
            <v>Total outstanding dues of creditors other than micro enterprises and small enterprises</v>
          </cell>
          <cell r="R238">
            <v>0</v>
          </cell>
          <cell r="Z238">
            <v>0</v>
          </cell>
          <cell r="AD238">
            <v>-7.0000000000000007E-2</v>
          </cell>
        </row>
        <row r="239">
          <cell r="M239" t="str">
            <v>Total outstanding dues of creditors other than micro enterprises and small enterprises</v>
          </cell>
          <cell r="R239">
            <v>0</v>
          </cell>
          <cell r="Z239">
            <v>0</v>
          </cell>
          <cell r="AD239">
            <v>-0.09</v>
          </cell>
        </row>
        <row r="240">
          <cell r="M240" t="str">
            <v>Other Financial Liabilities</v>
          </cell>
          <cell r="R240">
            <v>0</v>
          </cell>
          <cell r="Z240">
            <v>0</v>
          </cell>
          <cell r="AD240">
            <v>-413.19</v>
          </cell>
        </row>
        <row r="241">
          <cell r="M241" t="str">
            <v>Other Financial Liabilities</v>
          </cell>
          <cell r="R241">
            <v>0</v>
          </cell>
          <cell r="Z241">
            <v>0</v>
          </cell>
          <cell r="AD241">
            <v>-68.08</v>
          </cell>
        </row>
        <row r="242">
          <cell r="M242" t="str">
            <v>Total outstanding dues of creditors other than micro enterprises and small enterprises</v>
          </cell>
          <cell r="R242">
            <v>0</v>
          </cell>
          <cell r="Z242">
            <v>0</v>
          </cell>
          <cell r="AD242">
            <v>-6.8</v>
          </cell>
        </row>
        <row r="243">
          <cell r="M243" t="str">
            <v>Total outstanding dues of creditors other than micro enterprises and small enterprises</v>
          </cell>
          <cell r="R243">
            <v>0</v>
          </cell>
          <cell r="Z243">
            <v>0</v>
          </cell>
          <cell r="AD243">
            <v>-0.01</v>
          </cell>
        </row>
        <row r="244">
          <cell r="M244" t="str">
            <v>Advance to Third parties</v>
          </cell>
          <cell r="R244">
            <v>0</v>
          </cell>
          <cell r="Z244">
            <v>0</v>
          </cell>
          <cell r="AD244">
            <v>0.02</v>
          </cell>
        </row>
        <row r="245">
          <cell r="M245" t="str">
            <v>Advance to Third parties</v>
          </cell>
          <cell r="R245">
            <v>0</v>
          </cell>
          <cell r="Z245">
            <v>0</v>
          </cell>
          <cell r="AD245">
            <v>0.42</v>
          </cell>
        </row>
        <row r="246">
          <cell r="M246" t="str">
            <v>Statutory dues payable</v>
          </cell>
          <cell r="R246">
            <v>0</v>
          </cell>
          <cell r="Z246">
            <v>0</v>
          </cell>
          <cell r="AD246">
            <v>-0.01</v>
          </cell>
        </row>
        <row r="247">
          <cell r="M247" t="str">
            <v>Statutory dues payable</v>
          </cell>
          <cell r="R247">
            <v>0</v>
          </cell>
          <cell r="Z247">
            <v>0</v>
          </cell>
          <cell r="AD247">
            <v>-0.36</v>
          </cell>
        </row>
        <row r="248">
          <cell r="M248" t="str">
            <v>Statutory dues payable</v>
          </cell>
          <cell r="R248">
            <v>0</v>
          </cell>
          <cell r="Z248">
            <v>0</v>
          </cell>
          <cell r="AD248">
            <v>-0.37</v>
          </cell>
        </row>
        <row r="249">
          <cell r="M249" t="str">
            <v>Statutory dues payable</v>
          </cell>
          <cell r="R249">
            <v>0</v>
          </cell>
          <cell r="Z249">
            <v>0</v>
          </cell>
          <cell r="AD249">
            <v>-0.03</v>
          </cell>
        </row>
        <row r="250">
          <cell r="M250" t="str">
            <v>Total outstanding dues of creditors other than micro enterprises and small enterprises</v>
          </cell>
          <cell r="R250">
            <v>0</v>
          </cell>
          <cell r="Z250">
            <v>0</v>
          </cell>
          <cell r="AD250">
            <v>-0.05</v>
          </cell>
        </row>
        <row r="251">
          <cell r="M251" t="str">
            <v>Advance to Third parties</v>
          </cell>
          <cell r="R251">
            <v>0</v>
          </cell>
          <cell r="Z251">
            <v>0</v>
          </cell>
          <cell r="AD251">
            <v>0.85</v>
          </cell>
        </row>
        <row r="252">
          <cell r="M252" t="str">
            <v>Total outstanding dues of creditors other than micro enterprises and small enterprises</v>
          </cell>
          <cell r="R252">
            <v>0</v>
          </cell>
          <cell r="Z252">
            <v>0</v>
          </cell>
          <cell r="AD252">
            <v>-0.04</v>
          </cell>
        </row>
        <row r="253">
          <cell r="M253" t="str">
            <v>Advance to Third parties</v>
          </cell>
          <cell r="R253">
            <v>0</v>
          </cell>
          <cell r="Z253">
            <v>0</v>
          </cell>
          <cell r="AD253">
            <v>0.23</v>
          </cell>
        </row>
        <row r="254">
          <cell r="M254" t="str">
            <v>Total outstanding dues of creditors other than micro enterprises and small enterprises</v>
          </cell>
          <cell r="R254">
            <v>0</v>
          </cell>
          <cell r="Z254">
            <v>0</v>
          </cell>
          <cell r="AD254">
            <v>0</v>
          </cell>
        </row>
        <row r="255">
          <cell r="M255" t="str">
            <v>Total outstanding dues of creditors other than micro enterprises and small enterprises</v>
          </cell>
          <cell r="R255">
            <v>0</v>
          </cell>
          <cell r="Z255">
            <v>0</v>
          </cell>
          <cell r="AD255">
            <v>-4.1900000000000004</v>
          </cell>
        </row>
        <row r="256">
          <cell r="M256" t="str">
            <v>Advance to Third parties</v>
          </cell>
          <cell r="R256">
            <v>0</v>
          </cell>
          <cell r="Z256">
            <v>0</v>
          </cell>
          <cell r="AD256">
            <v>0.03</v>
          </cell>
        </row>
        <row r="257">
          <cell r="M257" t="str">
            <v>Total outstanding dues of creditors other than micro enterprises and small enterprises</v>
          </cell>
          <cell r="R257">
            <v>0</v>
          </cell>
          <cell r="Z257">
            <v>0</v>
          </cell>
          <cell r="AD257">
            <v>-0.54</v>
          </cell>
        </row>
        <row r="258">
          <cell r="M258" t="str">
            <v>Total outstanding dues of creditors other than micro enterprises and small enterprises</v>
          </cell>
          <cell r="R258">
            <v>0</v>
          </cell>
          <cell r="Z258">
            <v>0</v>
          </cell>
          <cell r="AD258">
            <v>-0.4</v>
          </cell>
        </row>
        <row r="259">
          <cell r="M259" t="str">
            <v>Total outstanding dues of creditors other than micro enterprises and small enterprises</v>
          </cell>
          <cell r="R259">
            <v>0</v>
          </cell>
          <cell r="Z259">
            <v>0</v>
          </cell>
          <cell r="AD259">
            <v>-0.02</v>
          </cell>
        </row>
        <row r="260">
          <cell r="M260" t="str">
            <v>Total outstanding dues of creditors other than micro enterprises and small enterprises</v>
          </cell>
          <cell r="R260">
            <v>0</v>
          </cell>
          <cell r="Z260">
            <v>0</v>
          </cell>
          <cell r="AD260">
            <v>-0.12</v>
          </cell>
        </row>
        <row r="261">
          <cell r="M261" t="str">
            <v>Advance to Third parties</v>
          </cell>
          <cell r="R261">
            <v>0</v>
          </cell>
          <cell r="Z261">
            <v>0</v>
          </cell>
          <cell r="AD261">
            <v>23.29</v>
          </cell>
        </row>
        <row r="262">
          <cell r="M262" t="str">
            <v>Total outstanding dues of creditors other than micro enterprises and small enterprises</v>
          </cell>
          <cell r="R262">
            <v>0</v>
          </cell>
          <cell r="Z262">
            <v>0</v>
          </cell>
          <cell r="AD262">
            <v>-4.0599999999999996</v>
          </cell>
        </row>
        <row r="263">
          <cell r="M263" t="str">
            <v>Advance to Third parties</v>
          </cell>
          <cell r="R263">
            <v>0</v>
          </cell>
          <cell r="Z263">
            <v>0</v>
          </cell>
          <cell r="AD263">
            <v>0.98</v>
          </cell>
        </row>
        <row r="264">
          <cell r="M264" t="str">
            <v>Total outstanding dues of creditors other than micro enterprises and small enterprises</v>
          </cell>
          <cell r="R264">
            <v>0</v>
          </cell>
          <cell r="Z264">
            <v>0</v>
          </cell>
          <cell r="AD264">
            <v>-4.59</v>
          </cell>
        </row>
        <row r="265">
          <cell r="M265" t="str">
            <v>Total outstanding dues of creditors other than micro enterprises and small enterprises</v>
          </cell>
          <cell r="R265">
            <v>0</v>
          </cell>
          <cell r="Z265">
            <v>0</v>
          </cell>
          <cell r="AD265">
            <v>-0.03</v>
          </cell>
        </row>
        <row r="266">
          <cell r="M266" t="str">
            <v>Total outstanding dues of creditors other than micro enterprises and small enterprises</v>
          </cell>
          <cell r="R266">
            <v>0</v>
          </cell>
          <cell r="Z266">
            <v>0</v>
          </cell>
          <cell r="AD266">
            <v>-0.43</v>
          </cell>
        </row>
        <row r="267">
          <cell r="M267" t="str">
            <v>Total outstanding dues of creditors other than micro enterprises and small enterprises</v>
          </cell>
          <cell r="R267">
            <v>0</v>
          </cell>
          <cell r="Z267">
            <v>0</v>
          </cell>
          <cell r="AD267">
            <v>-7.9</v>
          </cell>
        </row>
        <row r="268">
          <cell r="M268" t="str">
            <v>Total outstanding dues of creditors other than micro enterprises and small enterprises</v>
          </cell>
          <cell r="R268">
            <v>0</v>
          </cell>
          <cell r="Z268">
            <v>0</v>
          </cell>
          <cell r="AD268">
            <v>-0.15</v>
          </cell>
        </row>
        <row r="269">
          <cell r="M269" t="str">
            <v>Total outstanding dues of creditors other than micro enterprises and small enterprises</v>
          </cell>
          <cell r="R269">
            <v>0</v>
          </cell>
          <cell r="Z269">
            <v>0</v>
          </cell>
          <cell r="AD269">
            <v>-2.77</v>
          </cell>
        </row>
        <row r="270">
          <cell r="M270" t="str">
            <v>Advance to Third parties</v>
          </cell>
          <cell r="R270">
            <v>0</v>
          </cell>
          <cell r="Z270">
            <v>0</v>
          </cell>
          <cell r="AD270">
            <v>1.48</v>
          </cell>
        </row>
        <row r="271">
          <cell r="M271" t="str">
            <v>Advance to Third parties</v>
          </cell>
          <cell r="R271">
            <v>0</v>
          </cell>
          <cell r="Z271">
            <v>0</v>
          </cell>
          <cell r="AD271">
            <v>-0.1</v>
          </cell>
        </row>
        <row r="272">
          <cell r="M272" t="str">
            <v>Total outstanding dues of creditors other than micro enterprises and small enterprises</v>
          </cell>
          <cell r="R272">
            <v>0</v>
          </cell>
          <cell r="Z272">
            <v>0</v>
          </cell>
          <cell r="AD272">
            <v>-0.23</v>
          </cell>
        </row>
        <row r="273">
          <cell r="M273" t="str">
            <v>Total outstanding dues of creditors other than micro enterprises and small enterprises</v>
          </cell>
          <cell r="R273">
            <v>0</v>
          </cell>
          <cell r="Z273">
            <v>0</v>
          </cell>
          <cell r="AD273">
            <v>-7.0000000000000007E-2</v>
          </cell>
        </row>
        <row r="274">
          <cell r="M274" t="str">
            <v>Total outstanding dues of creditors other than micro enterprises and small enterprises</v>
          </cell>
          <cell r="R274">
            <v>0</v>
          </cell>
          <cell r="Z274">
            <v>0</v>
          </cell>
          <cell r="AD274">
            <v>-7.0000000000000007E-2</v>
          </cell>
        </row>
        <row r="275">
          <cell r="M275" t="str">
            <v>Advance to Third parties</v>
          </cell>
          <cell r="R275">
            <v>0</v>
          </cell>
          <cell r="Z275">
            <v>0</v>
          </cell>
          <cell r="AD275">
            <v>0.64</v>
          </cell>
        </row>
        <row r="276">
          <cell r="M276" t="str">
            <v>Other Financial Liabilities</v>
          </cell>
          <cell r="R276">
            <v>0</v>
          </cell>
          <cell r="Z276">
            <v>0</v>
          </cell>
          <cell r="AD276">
            <v>-382.69</v>
          </cell>
        </row>
        <row r="277">
          <cell r="M277" t="str">
            <v>Advance to Third parties</v>
          </cell>
          <cell r="R277">
            <v>0</v>
          </cell>
          <cell r="Z277">
            <v>0</v>
          </cell>
          <cell r="AD277">
            <v>0.08</v>
          </cell>
        </row>
        <row r="278">
          <cell r="M278" t="str">
            <v>Advance to Third parties</v>
          </cell>
          <cell r="R278">
            <v>0</v>
          </cell>
          <cell r="Z278">
            <v>0</v>
          </cell>
          <cell r="AD278">
            <v>0.17</v>
          </cell>
        </row>
        <row r="279">
          <cell r="M279" t="str">
            <v>Total outstanding dues of creditors other than micro enterprises and small enterprises</v>
          </cell>
          <cell r="R279">
            <v>0</v>
          </cell>
          <cell r="Z279">
            <v>0</v>
          </cell>
          <cell r="AD279">
            <v>-72.2</v>
          </cell>
        </row>
        <row r="280">
          <cell r="M280" t="str">
            <v>Advance to Third parties</v>
          </cell>
          <cell r="R280">
            <v>0</v>
          </cell>
          <cell r="Z280">
            <v>0</v>
          </cell>
          <cell r="AD280">
            <v>0.03</v>
          </cell>
        </row>
        <row r="281">
          <cell r="M281" t="str">
            <v>Advance to Third parties</v>
          </cell>
          <cell r="R281">
            <v>0</v>
          </cell>
          <cell r="Z281">
            <v>0</v>
          </cell>
          <cell r="AD281">
            <v>0.02</v>
          </cell>
        </row>
        <row r="282">
          <cell r="M282" t="str">
            <v>Total outstanding dues of creditors other than micro enterprises and small enterprises</v>
          </cell>
          <cell r="R282">
            <v>0</v>
          </cell>
          <cell r="Z282">
            <v>0</v>
          </cell>
          <cell r="AD282">
            <v>-3.29</v>
          </cell>
        </row>
        <row r="283">
          <cell r="M283" t="str">
            <v>Total outstanding dues of creditors other than micro enterprises and small enterprises</v>
          </cell>
          <cell r="R283">
            <v>0</v>
          </cell>
          <cell r="Z283">
            <v>0</v>
          </cell>
          <cell r="AD283">
            <v>-0.95</v>
          </cell>
        </row>
        <row r="284">
          <cell r="M284" t="str">
            <v>Advance to Third parties</v>
          </cell>
          <cell r="R284">
            <v>0</v>
          </cell>
          <cell r="Z284">
            <v>0</v>
          </cell>
          <cell r="AD284">
            <v>0.02</v>
          </cell>
        </row>
        <row r="285">
          <cell r="M285" t="str">
            <v>Advance to Third parties</v>
          </cell>
          <cell r="R285">
            <v>0</v>
          </cell>
          <cell r="Z285">
            <v>0</v>
          </cell>
          <cell r="AD285">
            <v>0</v>
          </cell>
        </row>
        <row r="286">
          <cell r="M286" t="str">
            <v>Total outstanding dues of creditors other than micro enterprises and small enterprises</v>
          </cell>
          <cell r="R286">
            <v>0</v>
          </cell>
          <cell r="Z286">
            <v>0</v>
          </cell>
          <cell r="AD286">
            <v>-10.93</v>
          </cell>
        </row>
        <row r="287">
          <cell r="M287" t="str">
            <v>Total outstanding dues of creditors other than micro enterprises and small enterprises</v>
          </cell>
          <cell r="R287">
            <v>0</v>
          </cell>
          <cell r="Z287">
            <v>0</v>
          </cell>
          <cell r="AD287">
            <v>-0.11</v>
          </cell>
        </row>
        <row r="288">
          <cell r="M288" t="str">
            <v>Total outstanding dues of creditors other than micro enterprises and small enterprises</v>
          </cell>
          <cell r="R288">
            <v>0</v>
          </cell>
          <cell r="Z288">
            <v>0</v>
          </cell>
          <cell r="AD288">
            <v>-11.37</v>
          </cell>
        </row>
        <row r="289">
          <cell r="M289" t="str">
            <v>Total outstanding dues of creditors other than micro enterprises and small enterprises</v>
          </cell>
          <cell r="R289">
            <v>0</v>
          </cell>
          <cell r="Z289">
            <v>0</v>
          </cell>
          <cell r="AD289">
            <v>-0.11</v>
          </cell>
        </row>
        <row r="290">
          <cell r="M290" t="str">
            <v>Total outstanding dues of creditors other than micro enterprises and small enterprises</v>
          </cell>
          <cell r="R290">
            <v>0</v>
          </cell>
          <cell r="Z290">
            <v>0</v>
          </cell>
          <cell r="AD290">
            <v>-0.17</v>
          </cell>
        </row>
        <row r="291">
          <cell r="M291" t="str">
            <v>Total outstanding dues of creditors other than micro enterprises and small enterprises</v>
          </cell>
          <cell r="R291">
            <v>0</v>
          </cell>
          <cell r="Z291">
            <v>0</v>
          </cell>
          <cell r="AD291">
            <v>-5.14</v>
          </cell>
        </row>
        <row r="292">
          <cell r="M292" t="str">
            <v>Advance to Third parties</v>
          </cell>
          <cell r="R292">
            <v>0</v>
          </cell>
          <cell r="Z292">
            <v>0</v>
          </cell>
          <cell r="AD292">
            <v>0.3</v>
          </cell>
        </row>
        <row r="293">
          <cell r="M293" t="str">
            <v>Other Financial Liabilities</v>
          </cell>
          <cell r="R293">
            <v>0</v>
          </cell>
          <cell r="Z293">
            <v>0</v>
          </cell>
          <cell r="AD293">
            <v>-2.34</v>
          </cell>
        </row>
        <row r="294">
          <cell r="M294" t="str">
            <v>Total outstanding dues of creditors other than micro enterprises and small enterprises</v>
          </cell>
          <cell r="R294">
            <v>0</v>
          </cell>
          <cell r="Z294">
            <v>0</v>
          </cell>
          <cell r="AD294">
            <v>-1.77</v>
          </cell>
        </row>
        <row r="295">
          <cell r="M295" t="str">
            <v>Advance to Third parties</v>
          </cell>
          <cell r="R295">
            <v>0</v>
          </cell>
          <cell r="Z295">
            <v>0</v>
          </cell>
          <cell r="AD295">
            <v>0.44</v>
          </cell>
        </row>
        <row r="296">
          <cell r="M296" t="str">
            <v>Total outstanding dues of creditors other than micro enterprises and small enterprises</v>
          </cell>
          <cell r="R296">
            <v>0</v>
          </cell>
          <cell r="Z296">
            <v>0</v>
          </cell>
          <cell r="AD296">
            <v>-0.28999999999999998</v>
          </cell>
        </row>
        <row r="297">
          <cell r="M297" t="str">
            <v>Total outstanding dues of creditors other than micro enterprises and small enterprises</v>
          </cell>
          <cell r="R297">
            <v>0</v>
          </cell>
          <cell r="Z297">
            <v>0</v>
          </cell>
          <cell r="AD297">
            <v>-0.06</v>
          </cell>
        </row>
        <row r="298">
          <cell r="M298" t="str">
            <v>Total outstanding dues of creditors other than micro enterprises and small enterprises</v>
          </cell>
          <cell r="R298">
            <v>0</v>
          </cell>
          <cell r="Z298">
            <v>0</v>
          </cell>
          <cell r="AD298">
            <v>-3.09</v>
          </cell>
        </row>
        <row r="299">
          <cell r="M299" t="str">
            <v>Total outstanding dues of creditors other than micro enterprises and small enterprises</v>
          </cell>
          <cell r="R299">
            <v>0</v>
          </cell>
          <cell r="Z299">
            <v>0</v>
          </cell>
          <cell r="AD299">
            <v>-0.67</v>
          </cell>
        </row>
        <row r="300">
          <cell r="M300" t="str">
            <v>Advance to Third parties</v>
          </cell>
          <cell r="R300">
            <v>0</v>
          </cell>
          <cell r="Z300">
            <v>0</v>
          </cell>
          <cell r="AD300">
            <v>7.0000000000000007E-2</v>
          </cell>
        </row>
        <row r="301">
          <cell r="M301" t="str">
            <v>Advance to Third parties</v>
          </cell>
          <cell r="R301">
            <v>0</v>
          </cell>
          <cell r="Z301">
            <v>0</v>
          </cell>
          <cell r="AD301">
            <v>7.0000000000000007E-2</v>
          </cell>
        </row>
        <row r="302">
          <cell r="M302" t="str">
            <v>Total outstanding dues of creditors other than micro enterprises and small enterprises</v>
          </cell>
          <cell r="R302">
            <v>0</v>
          </cell>
          <cell r="Z302">
            <v>0</v>
          </cell>
          <cell r="AD302">
            <v>0</v>
          </cell>
        </row>
        <row r="303">
          <cell r="M303" t="str">
            <v>Total outstanding dues of creditors other than micro enterprises and small enterprises</v>
          </cell>
          <cell r="R303">
            <v>0</v>
          </cell>
          <cell r="Z303">
            <v>0</v>
          </cell>
          <cell r="AD303">
            <v>-1.86</v>
          </cell>
        </row>
        <row r="304">
          <cell r="M304" t="str">
            <v>Advance to Third parties</v>
          </cell>
          <cell r="R304">
            <v>0</v>
          </cell>
          <cell r="Z304">
            <v>0</v>
          </cell>
          <cell r="AD304">
            <v>0.31</v>
          </cell>
        </row>
        <row r="305">
          <cell r="M305" t="str">
            <v>Total outstanding dues of creditors other than micro enterprises and small enterprises</v>
          </cell>
          <cell r="R305">
            <v>0</v>
          </cell>
          <cell r="Z305">
            <v>0</v>
          </cell>
          <cell r="AD305">
            <v>-0.3</v>
          </cell>
        </row>
        <row r="306">
          <cell r="M306" t="str">
            <v>Total outstanding dues of creditors other than micro enterprises and small enterprises</v>
          </cell>
          <cell r="R306">
            <v>0</v>
          </cell>
          <cell r="Z306">
            <v>0</v>
          </cell>
          <cell r="AD306">
            <v>-0.23</v>
          </cell>
        </row>
        <row r="307">
          <cell r="M307" t="str">
            <v>Total outstanding dues of creditors other than micro enterprises and small enterprises</v>
          </cell>
          <cell r="R307">
            <v>0</v>
          </cell>
          <cell r="Z307">
            <v>0</v>
          </cell>
          <cell r="AD307">
            <v>-399.78</v>
          </cell>
        </row>
        <row r="308">
          <cell r="M308" t="str">
            <v>Total outstanding dues of creditors other than micro enterprises and small enterprises</v>
          </cell>
          <cell r="R308">
            <v>0</v>
          </cell>
          <cell r="Z308">
            <v>0</v>
          </cell>
          <cell r="AD308">
            <v>-0.64</v>
          </cell>
        </row>
        <row r="309">
          <cell r="M309" t="str">
            <v>Advance to Third parties</v>
          </cell>
          <cell r="R309">
            <v>0</v>
          </cell>
          <cell r="Z309">
            <v>0</v>
          </cell>
          <cell r="AD309">
            <v>0.26</v>
          </cell>
        </row>
        <row r="310">
          <cell r="M310" t="str">
            <v>Advance to Third parties</v>
          </cell>
          <cell r="R310">
            <v>0</v>
          </cell>
          <cell r="Z310">
            <v>0</v>
          </cell>
          <cell r="AD310">
            <v>0.04</v>
          </cell>
        </row>
        <row r="311">
          <cell r="M311" t="str">
            <v>Advance to Third parties</v>
          </cell>
          <cell r="R311">
            <v>0</v>
          </cell>
          <cell r="Z311">
            <v>0</v>
          </cell>
          <cell r="AD311">
            <v>7.0000000000000007E-2</v>
          </cell>
        </row>
        <row r="312">
          <cell r="M312" t="str">
            <v>Total outstanding dues of creditors other than micro enterprises and small enterprises</v>
          </cell>
          <cell r="R312">
            <v>0</v>
          </cell>
          <cell r="Z312">
            <v>0</v>
          </cell>
          <cell r="AD312">
            <v>-1.2</v>
          </cell>
        </row>
        <row r="313">
          <cell r="M313" t="str">
            <v>Advance to Third parties</v>
          </cell>
          <cell r="R313">
            <v>0</v>
          </cell>
          <cell r="Z313">
            <v>0</v>
          </cell>
          <cell r="AD313">
            <v>0.21</v>
          </cell>
        </row>
        <row r="314">
          <cell r="M314" t="str">
            <v>Total outstanding dues of creditors other than micro enterprises and small enterprises</v>
          </cell>
          <cell r="R314">
            <v>0</v>
          </cell>
          <cell r="Z314">
            <v>0</v>
          </cell>
          <cell r="AD314">
            <v>-0.83</v>
          </cell>
        </row>
        <row r="315">
          <cell r="M315" t="str">
            <v>Total outstanding dues of creditors other than micro enterprises and small enterprises</v>
          </cell>
          <cell r="R315">
            <v>0</v>
          </cell>
          <cell r="Z315">
            <v>0</v>
          </cell>
          <cell r="AD315">
            <v>-0.17</v>
          </cell>
        </row>
        <row r="316">
          <cell r="M316" t="str">
            <v>Total outstanding dues of creditors other than micro enterprises and small enterprises</v>
          </cell>
          <cell r="R316">
            <v>0</v>
          </cell>
          <cell r="Z316">
            <v>0</v>
          </cell>
          <cell r="AD316">
            <v>-0.37</v>
          </cell>
        </row>
        <row r="317">
          <cell r="M317" t="str">
            <v>Total outstanding dues of creditors other than micro enterprises and small enterprises</v>
          </cell>
          <cell r="R317">
            <v>0</v>
          </cell>
          <cell r="Z317">
            <v>0</v>
          </cell>
          <cell r="AD317">
            <v>-0.2</v>
          </cell>
        </row>
        <row r="318">
          <cell r="M318" t="str">
            <v>Interest payable</v>
          </cell>
          <cell r="R318">
            <v>0</v>
          </cell>
          <cell r="Z318">
            <v>0</v>
          </cell>
          <cell r="AD318">
            <v>-25.59</v>
          </cell>
        </row>
        <row r="319">
          <cell r="M319" t="str">
            <v>Salary Payable</v>
          </cell>
          <cell r="R319">
            <v>0</v>
          </cell>
          <cell r="Z319">
            <v>0</v>
          </cell>
          <cell r="AD319">
            <v>-6.59</v>
          </cell>
        </row>
        <row r="320">
          <cell r="M320" t="str">
            <v>Accumulated depreciation</v>
          </cell>
          <cell r="R320">
            <v>0</v>
          </cell>
          <cell r="Z320">
            <v>0</v>
          </cell>
          <cell r="AD320">
            <v>-0.05</v>
          </cell>
        </row>
        <row r="321">
          <cell r="M321" t="str">
            <v>Accumulated depreciation</v>
          </cell>
          <cell r="R321">
            <v>0</v>
          </cell>
          <cell r="Z321">
            <v>0</v>
          </cell>
          <cell r="AD321">
            <v>-0.12</v>
          </cell>
        </row>
        <row r="322">
          <cell r="M322" t="str">
            <v>Building-Factory</v>
          </cell>
          <cell r="R322">
            <v>0</v>
          </cell>
          <cell r="Z322">
            <v>0</v>
          </cell>
          <cell r="AD322">
            <v>53.37</v>
          </cell>
        </row>
        <row r="323">
          <cell r="M323" t="str">
            <v>Building-Factory</v>
          </cell>
          <cell r="R323">
            <v>0</v>
          </cell>
          <cell r="Z323">
            <v>0</v>
          </cell>
          <cell r="AD323">
            <v>30.68</v>
          </cell>
        </row>
        <row r="324">
          <cell r="M324" t="str">
            <v>Building-Factory</v>
          </cell>
          <cell r="R324">
            <v>0</v>
          </cell>
          <cell r="Z324">
            <v>0</v>
          </cell>
          <cell r="AD324">
            <v>35.979999999999997</v>
          </cell>
        </row>
        <row r="325">
          <cell r="M325" t="str">
            <v>Building-Factory</v>
          </cell>
          <cell r="R325">
            <v>0</v>
          </cell>
          <cell r="Z325">
            <v>0</v>
          </cell>
          <cell r="AD325">
            <v>362.01</v>
          </cell>
        </row>
        <row r="326">
          <cell r="M326" t="str">
            <v>Computers</v>
          </cell>
          <cell r="R326">
            <v>0</v>
          </cell>
          <cell r="Z326">
            <v>0</v>
          </cell>
          <cell r="AD326">
            <v>1.31</v>
          </cell>
        </row>
        <row r="327">
          <cell r="M327" t="str">
            <v>Land</v>
          </cell>
          <cell r="R327">
            <v>0</v>
          </cell>
          <cell r="Z327">
            <v>0</v>
          </cell>
          <cell r="AD327">
            <v>368.44</v>
          </cell>
        </row>
        <row r="328">
          <cell r="M328" t="str">
            <v>Land</v>
          </cell>
          <cell r="P328">
            <v>0</v>
          </cell>
          <cell r="R328">
            <v>0</v>
          </cell>
          <cell r="Z328">
            <v>0</v>
          </cell>
          <cell r="AD328">
            <v>107.74</v>
          </cell>
        </row>
        <row r="329">
          <cell r="M329" t="str">
            <v>Furniture and fixtures</v>
          </cell>
          <cell r="R329">
            <v>0</v>
          </cell>
          <cell r="Z329">
            <v>0</v>
          </cell>
          <cell r="AD329">
            <v>2.89</v>
          </cell>
        </row>
        <row r="330">
          <cell r="M330" t="str">
            <v>software</v>
          </cell>
          <cell r="R330">
            <v>0</v>
          </cell>
          <cell r="Z330">
            <v>0</v>
          </cell>
          <cell r="AD330">
            <v>0.51</v>
          </cell>
        </row>
        <row r="331">
          <cell r="M331" t="str">
            <v>Office Equipment</v>
          </cell>
          <cell r="R331">
            <v>0</v>
          </cell>
          <cell r="Z331">
            <v>0</v>
          </cell>
          <cell r="AD331">
            <v>0.71</v>
          </cell>
        </row>
        <row r="332">
          <cell r="M332" t="str">
            <v>Office Equipment</v>
          </cell>
          <cell r="R332">
            <v>0</v>
          </cell>
          <cell r="Z332">
            <v>0</v>
          </cell>
          <cell r="AD332">
            <v>2.27</v>
          </cell>
        </row>
        <row r="333">
          <cell r="M333" t="str">
            <v xml:space="preserve">Plant and machinery </v>
          </cell>
          <cell r="R333">
            <v>0</v>
          </cell>
          <cell r="Z333">
            <v>0</v>
          </cell>
          <cell r="AD333">
            <v>3731.35</v>
          </cell>
        </row>
        <row r="334">
          <cell r="M334" t="str">
            <v>Building-Factory</v>
          </cell>
          <cell r="R334">
            <v>0</v>
          </cell>
          <cell r="Z334">
            <v>0</v>
          </cell>
          <cell r="AD334">
            <v>33.200000000000003</v>
          </cell>
        </row>
        <row r="335">
          <cell r="M335" t="str">
            <v>Property, Plant and Equipment</v>
          </cell>
          <cell r="R335">
            <v>0</v>
          </cell>
          <cell r="Z335">
            <v>0</v>
          </cell>
          <cell r="AD335">
            <v>-16.03</v>
          </cell>
        </row>
        <row r="336">
          <cell r="M336" t="str">
            <v>On current accounts</v>
          </cell>
          <cell r="R336">
            <v>0</v>
          </cell>
          <cell r="Z336">
            <v>0</v>
          </cell>
          <cell r="AD336">
            <v>5.35</v>
          </cell>
        </row>
        <row r="337">
          <cell r="M337" t="str">
            <v>Security deposit</v>
          </cell>
          <cell r="R337">
            <v>0</v>
          </cell>
          <cell r="Z337">
            <v>0</v>
          </cell>
          <cell r="AD337">
            <v>3.2</v>
          </cell>
        </row>
        <row r="338">
          <cell r="M338" t="str">
            <v>Security deposit</v>
          </cell>
          <cell r="R338">
            <v>0</v>
          </cell>
          <cell r="Z338">
            <v>0</v>
          </cell>
          <cell r="AD338">
            <v>0.1</v>
          </cell>
        </row>
        <row r="339">
          <cell r="M339" t="str">
            <v>Advance to Third parties</v>
          </cell>
          <cell r="R339">
            <v>0</v>
          </cell>
          <cell r="Z339">
            <v>0</v>
          </cell>
          <cell r="AD339">
            <v>-0.01</v>
          </cell>
        </row>
        <row r="340">
          <cell r="M340" t="str">
            <v>Other Financial Liabilities</v>
          </cell>
          <cell r="R340">
            <v>0</v>
          </cell>
          <cell r="Z340">
            <v>0</v>
          </cell>
          <cell r="AD340">
            <v>-0.05</v>
          </cell>
        </row>
        <row r="341">
          <cell r="M341" t="str">
            <v>Advance to Third parties</v>
          </cell>
          <cell r="R341">
            <v>0</v>
          </cell>
          <cell r="Z341">
            <v>0</v>
          </cell>
          <cell r="AD341">
            <v>0</v>
          </cell>
        </row>
        <row r="342">
          <cell r="M342" t="str">
            <v>Advance to Third parties</v>
          </cell>
          <cell r="R342">
            <v>0</v>
          </cell>
          <cell r="Z342">
            <v>0</v>
          </cell>
          <cell r="AD342">
            <v>0.05</v>
          </cell>
        </row>
        <row r="343">
          <cell r="M343" t="str">
            <v>Other Financial Liabilities</v>
          </cell>
          <cell r="R343">
            <v>0</v>
          </cell>
          <cell r="Z343">
            <v>0</v>
          </cell>
          <cell r="AD343">
            <v>-0.03</v>
          </cell>
        </row>
        <row r="344">
          <cell r="M344" t="str">
            <v>Advance to Third parties</v>
          </cell>
          <cell r="R344">
            <v>0</v>
          </cell>
          <cell r="Z344">
            <v>0</v>
          </cell>
          <cell r="AD344">
            <v>0.43</v>
          </cell>
        </row>
        <row r="345">
          <cell r="M345" t="str">
            <v>Other Financial Liabilities</v>
          </cell>
          <cell r="R345">
            <v>0</v>
          </cell>
          <cell r="Z345">
            <v>0</v>
          </cell>
          <cell r="AD345">
            <v>-0.01</v>
          </cell>
        </row>
        <row r="346">
          <cell r="M346" t="str">
            <v>Advance to Third parties</v>
          </cell>
          <cell r="R346">
            <v>0</v>
          </cell>
          <cell r="Z346">
            <v>0</v>
          </cell>
          <cell r="AD346">
            <v>-0.09</v>
          </cell>
        </row>
        <row r="347">
          <cell r="M347" t="str">
            <v>Advance to Third parties</v>
          </cell>
          <cell r="R347">
            <v>0</v>
          </cell>
          <cell r="Z347">
            <v>0</v>
          </cell>
          <cell r="AD347">
            <v>0.93</v>
          </cell>
        </row>
        <row r="348">
          <cell r="M348" t="str">
            <v>Advance to Third parties</v>
          </cell>
          <cell r="R348">
            <v>0</v>
          </cell>
          <cell r="Z348">
            <v>0</v>
          </cell>
          <cell r="AD348">
            <v>249</v>
          </cell>
        </row>
        <row r="349">
          <cell r="M349" t="str">
            <v>Advance to Third parties</v>
          </cell>
          <cell r="R349">
            <v>0</v>
          </cell>
          <cell r="Z349">
            <v>0</v>
          </cell>
          <cell r="AD349">
            <v>24.5</v>
          </cell>
        </row>
        <row r="350">
          <cell r="M350" t="str">
            <v>Advance to Third parties</v>
          </cell>
          <cell r="R350">
            <v>0</v>
          </cell>
          <cell r="Z350">
            <v>0</v>
          </cell>
          <cell r="AD350">
            <v>10</v>
          </cell>
        </row>
        <row r="351">
          <cell r="M351" t="str">
            <v>- Considered good</v>
          </cell>
          <cell r="R351">
            <v>0</v>
          </cell>
          <cell r="Z351">
            <v>0</v>
          </cell>
          <cell r="AD351">
            <v>0.02</v>
          </cell>
        </row>
        <row r="352">
          <cell r="M352" t="str">
            <v>- Considered good</v>
          </cell>
          <cell r="R352">
            <v>0</v>
          </cell>
          <cell r="Z352">
            <v>0</v>
          </cell>
          <cell r="AD352">
            <v>0.04</v>
          </cell>
        </row>
        <row r="353">
          <cell r="M353" t="str">
            <v>- Considered good</v>
          </cell>
          <cell r="R353">
            <v>0</v>
          </cell>
          <cell r="Z353">
            <v>0</v>
          </cell>
          <cell r="AD353">
            <v>0.33</v>
          </cell>
        </row>
        <row r="354">
          <cell r="M354" t="str">
            <v>- Considered good</v>
          </cell>
          <cell r="R354">
            <v>0</v>
          </cell>
          <cell r="Z354">
            <v>0</v>
          </cell>
          <cell r="AD354">
            <v>0.01</v>
          </cell>
        </row>
        <row r="355">
          <cell r="M355" t="str">
            <v>- Considered good</v>
          </cell>
          <cell r="R355">
            <v>0</v>
          </cell>
          <cell r="Z355">
            <v>0</v>
          </cell>
          <cell r="AD355">
            <v>0.04</v>
          </cell>
        </row>
        <row r="356">
          <cell r="M356" t="str">
            <v>- Considered good</v>
          </cell>
          <cell r="R356">
            <v>0</v>
          </cell>
          <cell r="Z356">
            <v>0</v>
          </cell>
          <cell r="AD356">
            <v>0.09</v>
          </cell>
        </row>
        <row r="357">
          <cell r="M357" t="str">
            <v>- Considered good</v>
          </cell>
          <cell r="R357">
            <v>0</v>
          </cell>
          <cell r="Z357">
            <v>0</v>
          </cell>
          <cell r="AD357">
            <v>0.05</v>
          </cell>
        </row>
        <row r="358">
          <cell r="M358" t="str">
            <v>- Considered good</v>
          </cell>
          <cell r="R358">
            <v>0</v>
          </cell>
          <cell r="Z358">
            <v>0</v>
          </cell>
          <cell r="AD358">
            <v>0.05</v>
          </cell>
        </row>
        <row r="359">
          <cell r="M359" t="str">
            <v>- Considered good</v>
          </cell>
          <cell r="R359">
            <v>0</v>
          </cell>
          <cell r="Z359">
            <v>0</v>
          </cell>
          <cell r="AD359">
            <v>0.04</v>
          </cell>
        </row>
        <row r="360">
          <cell r="M360" t="str">
            <v>- Considered good</v>
          </cell>
          <cell r="R360">
            <v>0</v>
          </cell>
          <cell r="Z360">
            <v>0</v>
          </cell>
          <cell r="AD360">
            <v>0.03</v>
          </cell>
        </row>
        <row r="361">
          <cell r="M361" t="str">
            <v>- Considered good</v>
          </cell>
          <cell r="R361">
            <v>0</v>
          </cell>
          <cell r="Z361">
            <v>0</v>
          </cell>
          <cell r="AD361">
            <v>0.03</v>
          </cell>
        </row>
        <row r="362">
          <cell r="M362" t="str">
            <v>- Considered good</v>
          </cell>
          <cell r="R362">
            <v>0</v>
          </cell>
          <cell r="Z362">
            <v>0</v>
          </cell>
          <cell r="AD362">
            <v>0.12</v>
          </cell>
        </row>
        <row r="363">
          <cell r="M363" t="str">
            <v>- Considered good</v>
          </cell>
          <cell r="R363">
            <v>0</v>
          </cell>
          <cell r="Z363">
            <v>0</v>
          </cell>
          <cell r="AD363">
            <v>0.04</v>
          </cell>
        </row>
        <row r="364">
          <cell r="M364" t="str">
            <v>- Considered good</v>
          </cell>
          <cell r="R364">
            <v>0</v>
          </cell>
          <cell r="Z364">
            <v>0</v>
          </cell>
          <cell r="AD364">
            <v>0.17</v>
          </cell>
        </row>
        <row r="365">
          <cell r="M365" t="str">
            <v>- Considered good</v>
          </cell>
          <cell r="R365">
            <v>0</v>
          </cell>
          <cell r="Z365">
            <v>0</v>
          </cell>
          <cell r="AD365">
            <v>0.04</v>
          </cell>
        </row>
        <row r="366">
          <cell r="M366" t="str">
            <v>- Considered good</v>
          </cell>
          <cell r="R366">
            <v>0</v>
          </cell>
          <cell r="Z366">
            <v>0</v>
          </cell>
          <cell r="AD366">
            <v>0.04</v>
          </cell>
        </row>
        <row r="367">
          <cell r="M367" t="str">
            <v>- Considered good</v>
          </cell>
          <cell r="R367">
            <v>0</v>
          </cell>
          <cell r="Z367">
            <v>0</v>
          </cell>
          <cell r="AD367">
            <v>0.08</v>
          </cell>
        </row>
        <row r="368">
          <cell r="M368" t="str">
            <v>- Considered good</v>
          </cell>
          <cell r="R368">
            <v>0</v>
          </cell>
          <cell r="Z368">
            <v>0</v>
          </cell>
          <cell r="AD368">
            <v>0.04</v>
          </cell>
        </row>
        <row r="369">
          <cell r="M369" t="str">
            <v>- Considered good</v>
          </cell>
          <cell r="R369">
            <v>0</v>
          </cell>
          <cell r="Z369">
            <v>0</v>
          </cell>
          <cell r="AD369">
            <v>0.04</v>
          </cell>
        </row>
        <row r="370">
          <cell r="M370" t="str">
            <v>- Considered good</v>
          </cell>
          <cell r="R370">
            <v>0</v>
          </cell>
          <cell r="Z370">
            <v>0</v>
          </cell>
          <cell r="AD370">
            <v>0.04</v>
          </cell>
        </row>
        <row r="371">
          <cell r="M371" t="str">
            <v>- Considered good</v>
          </cell>
          <cell r="R371">
            <v>0</v>
          </cell>
          <cell r="Z371">
            <v>0</v>
          </cell>
          <cell r="AD371">
            <v>0.04</v>
          </cell>
        </row>
        <row r="372">
          <cell r="M372" t="str">
            <v>- Considered good</v>
          </cell>
          <cell r="R372">
            <v>0</v>
          </cell>
          <cell r="Z372">
            <v>0</v>
          </cell>
          <cell r="AD372">
            <v>0.11</v>
          </cell>
        </row>
        <row r="373">
          <cell r="M373" t="str">
            <v>- Considered good</v>
          </cell>
          <cell r="R373">
            <v>0</v>
          </cell>
          <cell r="Z373">
            <v>0</v>
          </cell>
          <cell r="AD373">
            <v>16.46</v>
          </cell>
        </row>
        <row r="374">
          <cell r="M374" t="str">
            <v>Unbilled Revenue</v>
          </cell>
          <cell r="R374">
            <v>0</v>
          </cell>
          <cell r="Z374">
            <v>0</v>
          </cell>
          <cell r="AD374">
            <v>3.34</v>
          </cell>
        </row>
        <row r="375">
          <cell r="M375" t="str">
            <v>On current accounts</v>
          </cell>
          <cell r="R375">
            <v>0</v>
          </cell>
          <cell r="Z375">
            <v>0</v>
          </cell>
          <cell r="AD375">
            <v>0.5</v>
          </cell>
        </row>
        <row r="376">
          <cell r="M376" t="str">
            <v>On current accounts</v>
          </cell>
          <cell r="R376">
            <v>0</v>
          </cell>
          <cell r="Z376">
            <v>0</v>
          </cell>
          <cell r="AD376">
            <v>0.61</v>
          </cell>
        </row>
        <row r="377">
          <cell r="M377" t="str">
            <v>On current accounts</v>
          </cell>
          <cell r="R377">
            <v>0</v>
          </cell>
          <cell r="Z377">
            <v>0</v>
          </cell>
          <cell r="AD377">
            <v>2.98</v>
          </cell>
        </row>
        <row r="378">
          <cell r="M378" t="str">
            <v>Balance with Government authorities</v>
          </cell>
          <cell r="R378">
            <v>0</v>
          </cell>
          <cell r="Z378">
            <v>0</v>
          </cell>
          <cell r="AD378">
            <v>3.45</v>
          </cell>
        </row>
        <row r="379">
          <cell r="M379" t="str">
            <v>Balance with Government authorities</v>
          </cell>
          <cell r="R379">
            <v>0</v>
          </cell>
          <cell r="Z379">
            <v>0</v>
          </cell>
          <cell r="AD379">
            <v>2.19</v>
          </cell>
        </row>
        <row r="380">
          <cell r="M380" t="str">
            <v>Balance with Government authorities</v>
          </cell>
          <cell r="R380">
            <v>0</v>
          </cell>
          <cell r="Z380">
            <v>0</v>
          </cell>
          <cell r="AD380">
            <v>3.45</v>
          </cell>
        </row>
        <row r="381">
          <cell r="M381" t="str">
            <v>Prepaid expenses</v>
          </cell>
          <cell r="R381">
            <v>0</v>
          </cell>
          <cell r="Z381">
            <v>0</v>
          </cell>
          <cell r="AD381">
            <v>6.24</v>
          </cell>
        </row>
        <row r="382">
          <cell r="M382" t="str">
            <v>Balance with Government authorities</v>
          </cell>
          <cell r="R382">
            <v>0</v>
          </cell>
          <cell r="Z382">
            <v>0</v>
          </cell>
          <cell r="AD382">
            <v>315.89</v>
          </cell>
        </row>
        <row r="383">
          <cell r="M383" t="str">
            <v>Income Tax Asset (Net)</v>
          </cell>
          <cell r="R383">
            <v>0</v>
          </cell>
          <cell r="Z383">
            <v>0</v>
          </cell>
          <cell r="AD383">
            <v>0.09</v>
          </cell>
        </row>
        <row r="384">
          <cell r="M384" t="str">
            <v xml:space="preserve">Sale of goods </v>
          </cell>
          <cell r="R384">
            <v>0</v>
          </cell>
          <cell r="Z384">
            <v>0</v>
          </cell>
          <cell r="AD384">
            <v>-43.85</v>
          </cell>
        </row>
        <row r="385">
          <cell r="M385" t="str">
            <v xml:space="preserve">Sale of goods </v>
          </cell>
          <cell r="R385">
            <v>0</v>
          </cell>
          <cell r="Z385">
            <v>0</v>
          </cell>
          <cell r="AD385">
            <v>0.79</v>
          </cell>
        </row>
        <row r="386">
          <cell r="M386" t="str">
            <v xml:space="preserve">Sale of goods </v>
          </cell>
          <cell r="R386">
            <v>0</v>
          </cell>
          <cell r="Z386">
            <v>0</v>
          </cell>
          <cell r="AD386">
            <v>-2.96</v>
          </cell>
        </row>
        <row r="387">
          <cell r="M387" t="str">
            <v>Traded goods sold</v>
          </cell>
          <cell r="R387">
            <v>0</v>
          </cell>
          <cell r="Z387">
            <v>0</v>
          </cell>
          <cell r="AD387">
            <v>-10.67</v>
          </cell>
        </row>
        <row r="388">
          <cell r="M388" t="str">
            <v>cost of raw material consumed</v>
          </cell>
          <cell r="R388">
            <v>0</v>
          </cell>
          <cell r="Z388">
            <v>0</v>
          </cell>
          <cell r="AD388">
            <v>248.14</v>
          </cell>
        </row>
        <row r="389">
          <cell r="M389" t="str">
            <v>cost of raw material consumed</v>
          </cell>
          <cell r="R389">
            <v>0</v>
          </cell>
          <cell r="Z389">
            <v>0</v>
          </cell>
          <cell r="AD389">
            <v>10.67</v>
          </cell>
        </row>
        <row r="390">
          <cell r="M390" t="str">
            <v>cost of raw material consumed</v>
          </cell>
          <cell r="R390">
            <v>0</v>
          </cell>
          <cell r="Z390">
            <v>0</v>
          </cell>
          <cell r="AD390">
            <v>-25.04</v>
          </cell>
        </row>
        <row r="391">
          <cell r="M391" t="str">
            <v>Power and fuel</v>
          </cell>
          <cell r="R391">
            <v>0</v>
          </cell>
          <cell r="Z391">
            <v>0</v>
          </cell>
          <cell r="AD391">
            <v>2.5299999999999998</v>
          </cell>
        </row>
        <row r="392">
          <cell r="M392" t="str">
            <v>Power and fuel</v>
          </cell>
          <cell r="R392">
            <v>0</v>
          </cell>
          <cell r="Z392">
            <v>0</v>
          </cell>
          <cell r="AD392">
            <v>4</v>
          </cell>
        </row>
        <row r="393">
          <cell r="M393" t="str">
            <v>Consumption of stores &amp; spares and consumables</v>
          </cell>
          <cell r="R393">
            <v>0</v>
          </cell>
          <cell r="Z393">
            <v>0</v>
          </cell>
          <cell r="AD393">
            <v>1.68</v>
          </cell>
        </row>
        <row r="394">
          <cell r="M394" t="str">
            <v>Consumption of stores &amp; spares and consumables</v>
          </cell>
          <cell r="R394">
            <v>0</v>
          </cell>
          <cell r="Z394">
            <v>0</v>
          </cell>
          <cell r="AD394">
            <v>0.1</v>
          </cell>
        </row>
        <row r="395">
          <cell r="M395" t="str">
            <v>Selling and distribution expenses</v>
          </cell>
          <cell r="R395">
            <v>0</v>
          </cell>
          <cell r="Z395">
            <v>0</v>
          </cell>
          <cell r="AD395">
            <v>36.049999999999997</v>
          </cell>
        </row>
        <row r="396">
          <cell r="M396" t="str">
            <v>Other operating revenue</v>
          </cell>
          <cell r="R396">
            <v>0</v>
          </cell>
          <cell r="Z396">
            <v>0</v>
          </cell>
          <cell r="AD396">
            <v>-0.06</v>
          </cell>
        </row>
        <row r="397">
          <cell r="M397" t="str">
            <v>Miscellaneous income</v>
          </cell>
          <cell r="R397">
            <v>0</v>
          </cell>
          <cell r="Z397">
            <v>0</v>
          </cell>
          <cell r="AD397">
            <v>-0.26</v>
          </cell>
        </row>
        <row r="398">
          <cell r="M398">
            <v>0</v>
          </cell>
          <cell r="R398">
            <v>0</v>
          </cell>
          <cell r="Z398">
            <v>0</v>
          </cell>
          <cell r="AD398">
            <v>0</v>
          </cell>
        </row>
        <row r="399">
          <cell r="M399" t="str">
            <v xml:space="preserve">Bank charges </v>
          </cell>
          <cell r="R399">
            <v>0</v>
          </cell>
          <cell r="Z399">
            <v>0</v>
          </cell>
          <cell r="AD399">
            <v>0.49</v>
          </cell>
        </row>
        <row r="400">
          <cell r="M400" t="str">
            <v>Interest on borrowing</v>
          </cell>
          <cell r="R400">
            <v>0</v>
          </cell>
          <cell r="Z400">
            <v>0</v>
          </cell>
          <cell r="AD400">
            <v>23.12</v>
          </cell>
        </row>
        <row r="401">
          <cell r="M401" t="str">
            <v>Rates and taxes</v>
          </cell>
          <cell r="R401">
            <v>0</v>
          </cell>
          <cell r="Z401">
            <v>0</v>
          </cell>
          <cell r="AD401">
            <v>0</v>
          </cell>
        </row>
        <row r="402">
          <cell r="M402" t="str">
            <v>Legal and professional charges</v>
          </cell>
          <cell r="R402">
            <v>0</v>
          </cell>
          <cell r="Z402">
            <v>0</v>
          </cell>
          <cell r="AD402">
            <v>1</v>
          </cell>
        </row>
        <row r="403">
          <cell r="M403" t="str">
            <v>Legal and professional charges</v>
          </cell>
          <cell r="R403">
            <v>0</v>
          </cell>
          <cell r="Z403">
            <v>0</v>
          </cell>
          <cell r="AD403">
            <v>4.7</v>
          </cell>
        </row>
        <row r="404">
          <cell r="M404" t="str">
            <v>Legal and professional charges</v>
          </cell>
          <cell r="R404">
            <v>0</v>
          </cell>
          <cell r="Z404">
            <v>0</v>
          </cell>
          <cell r="AD404">
            <v>1.4</v>
          </cell>
        </row>
        <row r="405">
          <cell r="M405" t="str">
            <v>Miscellaneous expenses</v>
          </cell>
          <cell r="R405">
            <v>0</v>
          </cell>
          <cell r="Z405">
            <v>0</v>
          </cell>
          <cell r="AD405">
            <v>0.41</v>
          </cell>
        </row>
        <row r="406">
          <cell r="M406" t="str">
            <v>Rates and taxes</v>
          </cell>
          <cell r="R406">
            <v>0</v>
          </cell>
          <cell r="Z406">
            <v>0</v>
          </cell>
          <cell r="AD406">
            <v>0.84</v>
          </cell>
        </row>
        <row r="407">
          <cell r="M407" t="str">
            <v>Miscellaneous expenses</v>
          </cell>
          <cell r="R407">
            <v>0</v>
          </cell>
          <cell r="Z407">
            <v>0</v>
          </cell>
          <cell r="AD407">
            <v>0.03</v>
          </cell>
        </row>
        <row r="408">
          <cell r="M408" t="str">
            <v>Miscellaneous expenses</v>
          </cell>
          <cell r="R408">
            <v>0</v>
          </cell>
          <cell r="Z408">
            <v>0</v>
          </cell>
          <cell r="AD408">
            <v>2.33</v>
          </cell>
        </row>
        <row r="409">
          <cell r="M409" t="str">
            <v>Repairs and maintenance - others</v>
          </cell>
          <cell r="R409">
            <v>0</v>
          </cell>
          <cell r="Z409">
            <v>0</v>
          </cell>
          <cell r="AD409">
            <v>1.28</v>
          </cell>
        </row>
        <row r="410">
          <cell r="M410" t="str">
            <v>Repairs and maintenance - others</v>
          </cell>
          <cell r="R410">
            <v>0</v>
          </cell>
          <cell r="Z410">
            <v>0</v>
          </cell>
          <cell r="AD410">
            <v>2.02</v>
          </cell>
        </row>
        <row r="411">
          <cell r="M411" t="str">
            <v>Repairs and maintenance - others</v>
          </cell>
          <cell r="R411">
            <v>0</v>
          </cell>
          <cell r="Z411">
            <v>0</v>
          </cell>
          <cell r="AD411">
            <v>0.51</v>
          </cell>
        </row>
        <row r="412">
          <cell r="M412" t="str">
            <v>Travel and conveyance</v>
          </cell>
          <cell r="R412">
            <v>0</v>
          </cell>
          <cell r="Z412">
            <v>0</v>
          </cell>
          <cell r="AD412">
            <v>0.5</v>
          </cell>
        </row>
        <row r="413">
          <cell r="M413" t="str">
            <v>Travel and conveyance</v>
          </cell>
          <cell r="R413">
            <v>0</v>
          </cell>
          <cell r="Z413">
            <v>0</v>
          </cell>
          <cell r="AD413">
            <v>0.51</v>
          </cell>
        </row>
        <row r="414">
          <cell r="M414" t="str">
            <v>Rates and taxes</v>
          </cell>
          <cell r="R414">
            <v>0</v>
          </cell>
          <cell r="Z414">
            <v>0</v>
          </cell>
          <cell r="AD414">
            <v>0.1</v>
          </cell>
        </row>
        <row r="415">
          <cell r="M415" t="str">
            <v>Miscellaneous expenses</v>
          </cell>
          <cell r="R415">
            <v>0</v>
          </cell>
          <cell r="Z415">
            <v>0</v>
          </cell>
          <cell r="AD415">
            <v>0</v>
          </cell>
        </row>
        <row r="416">
          <cell r="M416" t="str">
            <v>Depreciation (Refer Note 6)</v>
          </cell>
          <cell r="R416">
            <v>0</v>
          </cell>
          <cell r="Z416">
            <v>0</v>
          </cell>
          <cell r="AD416">
            <v>0</v>
          </cell>
        </row>
        <row r="417">
          <cell r="M417" t="str">
            <v>Miscellaneous expenses</v>
          </cell>
          <cell r="R417">
            <v>0</v>
          </cell>
          <cell r="Z417">
            <v>0</v>
          </cell>
          <cell r="AD417">
            <v>0.36</v>
          </cell>
        </row>
        <row r="418">
          <cell r="M418" t="str">
            <v>Contribution to Provident Fund and ESI</v>
          </cell>
          <cell r="R418">
            <v>0</v>
          </cell>
          <cell r="Z418">
            <v>0</v>
          </cell>
          <cell r="AD418">
            <v>0.01</v>
          </cell>
        </row>
        <row r="419">
          <cell r="M419" t="str">
            <v>Contribution to Provident Fund and ESI</v>
          </cell>
          <cell r="R419">
            <v>0</v>
          </cell>
          <cell r="Z419">
            <v>0</v>
          </cell>
          <cell r="AD419">
            <v>0.37</v>
          </cell>
        </row>
        <row r="420">
          <cell r="M420" t="str">
            <v>Insurance expenses</v>
          </cell>
          <cell r="R420">
            <v>0</v>
          </cell>
          <cell r="Z420">
            <v>0</v>
          </cell>
          <cell r="AD420">
            <v>1.6</v>
          </cell>
        </row>
        <row r="421">
          <cell r="M421" t="str">
            <v>others</v>
          </cell>
          <cell r="R421">
            <v>0</v>
          </cell>
          <cell r="Z421">
            <v>0</v>
          </cell>
          <cell r="AD421">
            <v>0.01</v>
          </cell>
        </row>
        <row r="422">
          <cell r="M422" t="str">
            <v>Rates and taxes</v>
          </cell>
          <cell r="R422">
            <v>0</v>
          </cell>
          <cell r="Z422">
            <v>0</v>
          </cell>
          <cell r="AD422">
            <v>0.11</v>
          </cell>
        </row>
        <row r="423">
          <cell r="M423" t="str">
            <v>Miscellaneous expenses</v>
          </cell>
          <cell r="R423">
            <v>0</v>
          </cell>
          <cell r="Z423">
            <v>0</v>
          </cell>
          <cell r="AD423">
            <v>0.01</v>
          </cell>
        </row>
        <row r="424">
          <cell r="M424" t="str">
            <v>Miscellaneous expenses</v>
          </cell>
          <cell r="R424">
            <v>0</v>
          </cell>
          <cell r="Z424">
            <v>0</v>
          </cell>
          <cell r="AD424">
            <v>0.02</v>
          </cell>
        </row>
        <row r="425">
          <cell r="M425" t="str">
            <v>Miscellaneous expenses</v>
          </cell>
          <cell r="R425">
            <v>0</v>
          </cell>
          <cell r="Z425">
            <v>0</v>
          </cell>
          <cell r="AD425">
            <v>0.15</v>
          </cell>
        </row>
        <row r="426">
          <cell r="M426" t="str">
            <v>Miscellaneous expenses</v>
          </cell>
          <cell r="R426">
            <v>0</v>
          </cell>
          <cell r="Z426">
            <v>0</v>
          </cell>
          <cell r="AD426">
            <v>0.04</v>
          </cell>
        </row>
        <row r="427">
          <cell r="M427" t="str">
            <v>Miscellaneous expenses</v>
          </cell>
          <cell r="R427">
            <v>0</v>
          </cell>
          <cell r="Z427">
            <v>0</v>
          </cell>
          <cell r="AD427">
            <v>0.16</v>
          </cell>
        </row>
        <row r="428">
          <cell r="M428" t="str">
            <v>Miscellaneous expenses</v>
          </cell>
          <cell r="R428">
            <v>0</v>
          </cell>
          <cell r="Z428">
            <v>0</v>
          </cell>
          <cell r="AD428">
            <v>1.46</v>
          </cell>
        </row>
        <row r="429">
          <cell r="M429" t="str">
            <v>Miscellaneous expenses</v>
          </cell>
          <cell r="R429">
            <v>0</v>
          </cell>
          <cell r="Z429">
            <v>0</v>
          </cell>
          <cell r="AD429">
            <v>0</v>
          </cell>
        </row>
        <row r="430">
          <cell r="M430" t="str">
            <v>Depreciation (Refer Note 6)</v>
          </cell>
          <cell r="R430">
            <v>0</v>
          </cell>
          <cell r="Z430">
            <v>0</v>
          </cell>
          <cell r="AD430">
            <v>16.03</v>
          </cell>
        </row>
        <row r="431">
          <cell r="M431" t="str">
            <v>Rates and taxes</v>
          </cell>
          <cell r="R431">
            <v>0</v>
          </cell>
          <cell r="Z431">
            <v>0</v>
          </cell>
          <cell r="AD431">
            <v>0.7</v>
          </cell>
        </row>
        <row r="432">
          <cell r="M432">
            <v>0</v>
          </cell>
          <cell r="R432">
            <v>0</v>
          </cell>
          <cell r="Z432">
            <v>0</v>
          </cell>
          <cell r="AD432">
            <v>0.01</v>
          </cell>
        </row>
        <row r="433">
          <cell r="M433" t="str">
            <v>Repairs and maintenance - Plant and Machinery</v>
          </cell>
          <cell r="R433">
            <v>0</v>
          </cell>
          <cell r="Z433">
            <v>0</v>
          </cell>
          <cell r="AD433">
            <v>0.59</v>
          </cell>
        </row>
        <row r="434">
          <cell r="M434" t="str">
            <v>Repairs and maintenance - others</v>
          </cell>
          <cell r="R434">
            <v>0</v>
          </cell>
          <cell r="Z434">
            <v>0</v>
          </cell>
          <cell r="AD434">
            <v>0.2</v>
          </cell>
        </row>
        <row r="435">
          <cell r="M435" t="str">
            <v>Rates and taxes</v>
          </cell>
          <cell r="R435">
            <v>0</v>
          </cell>
          <cell r="Z435">
            <v>0</v>
          </cell>
          <cell r="AD435">
            <v>12.07</v>
          </cell>
        </row>
        <row r="436">
          <cell r="M436" t="str">
            <v>Salaries, wages, bonus and other allowances</v>
          </cell>
          <cell r="R436">
            <v>0</v>
          </cell>
          <cell r="Z436">
            <v>0</v>
          </cell>
          <cell r="AD436">
            <v>6.6</v>
          </cell>
        </row>
        <row r="437">
          <cell r="M437" t="str">
            <v>Rates and taxes</v>
          </cell>
          <cell r="R437">
            <v>0</v>
          </cell>
          <cell r="Z437">
            <v>0</v>
          </cell>
          <cell r="AD437">
            <v>0.1</v>
          </cell>
        </row>
        <row r="438">
          <cell r="M438" t="str">
            <v>Repairs and maintenance - others</v>
          </cell>
          <cell r="R438">
            <v>0</v>
          </cell>
          <cell r="Z438">
            <v>0</v>
          </cell>
          <cell r="AD438">
            <v>0.08</v>
          </cell>
        </row>
        <row r="439">
          <cell r="M439" t="str">
            <v>Staff welfare expenses</v>
          </cell>
          <cell r="R439">
            <v>0</v>
          </cell>
          <cell r="Z439">
            <v>0</v>
          </cell>
          <cell r="AD439">
            <v>0.02</v>
          </cell>
        </row>
        <row r="440">
          <cell r="M440" t="str">
            <v>Interest on borrowing</v>
          </cell>
          <cell r="R440">
            <v>0</v>
          </cell>
          <cell r="Z440">
            <v>0</v>
          </cell>
          <cell r="AD440">
            <v>25.59</v>
          </cell>
        </row>
        <row r="441">
          <cell r="M441" t="str">
            <v>Miscellaneous expenses</v>
          </cell>
          <cell r="R441">
            <v>0</v>
          </cell>
          <cell r="Z441">
            <v>0</v>
          </cell>
          <cell r="AD441">
            <v>0</v>
          </cell>
        </row>
        <row r="442">
          <cell r="M442" t="str">
            <v xml:space="preserve">Retained earnings - CY adjustment </v>
          </cell>
          <cell r="R442">
            <v>0</v>
          </cell>
          <cell r="Z442">
            <v>0</v>
          </cell>
          <cell r="AD442">
            <v>7.53</v>
          </cell>
        </row>
        <row r="443">
          <cell r="R443">
            <v>0</v>
          </cell>
          <cell r="Z443">
            <v>0</v>
          </cell>
          <cell r="AD443">
            <v>0</v>
          </cell>
        </row>
        <row r="444">
          <cell r="R444">
            <v>0</v>
          </cell>
          <cell r="Z444">
            <v>0</v>
          </cell>
        </row>
        <row r="445">
          <cell r="R445">
            <v>0</v>
          </cell>
          <cell r="Z445">
            <v>0</v>
          </cell>
        </row>
        <row r="446">
          <cell r="M446" t="str">
            <v>Equity share capital</v>
          </cell>
          <cell r="R446">
            <v>-1409.6</v>
          </cell>
          <cell r="Z446">
            <v>0</v>
          </cell>
        </row>
        <row r="447">
          <cell r="M447" t="str">
            <v>On current accounts</v>
          </cell>
          <cell r="R447">
            <v>595.58000000000004</v>
          </cell>
          <cell r="Z447">
            <v>0</v>
          </cell>
        </row>
        <row r="448">
          <cell r="M448" t="str">
            <v>Canara Bank term loan</v>
          </cell>
          <cell r="R448">
            <v>-2744</v>
          </cell>
          <cell r="Z448">
            <v>0</v>
          </cell>
        </row>
        <row r="449">
          <cell r="M449" t="str">
            <v>Receivable from related parties</v>
          </cell>
          <cell r="R449">
            <v>0.18</v>
          </cell>
          <cell r="Z449">
            <v>0</v>
          </cell>
        </row>
        <row r="450">
          <cell r="M450" t="str">
            <v>Balance with Government authorities</v>
          </cell>
          <cell r="R450">
            <v>6.16</v>
          </cell>
          <cell r="Z450">
            <v>0</v>
          </cell>
        </row>
        <row r="451">
          <cell r="M451" t="str">
            <v>Statutory dues payable</v>
          </cell>
          <cell r="R451">
            <v>-2.68</v>
          </cell>
          <cell r="Z451">
            <v>0</v>
          </cell>
        </row>
        <row r="452">
          <cell r="M452" t="str">
            <v>Statutory dues payable</v>
          </cell>
          <cell r="R452">
            <v>-43.06</v>
          </cell>
          <cell r="Z452">
            <v>0</v>
          </cell>
        </row>
        <row r="453">
          <cell r="M453" t="str">
            <v>Statutory dues payable</v>
          </cell>
          <cell r="R453">
            <v>-4.13</v>
          </cell>
          <cell r="Z453">
            <v>0</v>
          </cell>
        </row>
        <row r="454">
          <cell r="M454" t="str">
            <v>Interest payable</v>
          </cell>
          <cell r="R454">
            <v>-2.17</v>
          </cell>
          <cell r="Z454">
            <v>0</v>
          </cell>
        </row>
        <row r="455">
          <cell r="M455" t="str">
            <v xml:space="preserve">Provision for leave encashment - Current </v>
          </cell>
          <cell r="R455">
            <v>-0.2</v>
          </cell>
          <cell r="Z455">
            <v>-0.25</v>
          </cell>
        </row>
        <row r="456">
          <cell r="M456" t="str">
            <v xml:space="preserve">Provision for gratuity (unfunded) - Current </v>
          </cell>
          <cell r="R456">
            <v>-0.04</v>
          </cell>
          <cell r="Z456">
            <v>0</v>
          </cell>
        </row>
        <row r="457">
          <cell r="M457" t="str">
            <v>Provision for gratuity (unfunded)</v>
          </cell>
          <cell r="R457">
            <v>-5.49</v>
          </cell>
          <cell r="Z457">
            <v>-1.2</v>
          </cell>
        </row>
        <row r="458">
          <cell r="M458" t="str">
            <v>Provision for leave encashment</v>
          </cell>
          <cell r="R458">
            <v>-2.31</v>
          </cell>
          <cell r="Z458">
            <v>-1.23</v>
          </cell>
        </row>
        <row r="459">
          <cell r="M459" t="str">
            <v>Total outstanding dues of creditors other than micro enterprises and small enterprises</v>
          </cell>
          <cell r="R459">
            <v>-0.16</v>
          </cell>
          <cell r="Z459">
            <v>0</v>
          </cell>
        </row>
        <row r="460">
          <cell r="M460" t="str">
            <v>Total outstanding dues of creditors other than micro enterprises and small enterprises</v>
          </cell>
          <cell r="R460">
            <v>-0.04</v>
          </cell>
          <cell r="Z460">
            <v>0</v>
          </cell>
        </row>
        <row r="461">
          <cell r="M461" t="str">
            <v>Total outstanding dues of creditors other than micro enterprises and small enterprises</v>
          </cell>
          <cell r="R461">
            <v>-0.08</v>
          </cell>
          <cell r="Z461">
            <v>0</v>
          </cell>
        </row>
        <row r="462">
          <cell r="M462" t="str">
            <v>Advance to Third parties</v>
          </cell>
          <cell r="R462">
            <v>0.71</v>
          </cell>
          <cell r="Z462">
            <v>0</v>
          </cell>
        </row>
        <row r="463">
          <cell r="M463" t="str">
            <v>Total outstanding dues of creditors other than micro enterprises and small enterprises</v>
          </cell>
          <cell r="R463">
            <v>-23.43</v>
          </cell>
          <cell r="Z463">
            <v>0</v>
          </cell>
        </row>
        <row r="464">
          <cell r="M464" t="str">
            <v>Advance to Third parties</v>
          </cell>
          <cell r="R464">
            <v>1.87</v>
          </cell>
          <cell r="Z464">
            <v>0</v>
          </cell>
        </row>
        <row r="465">
          <cell r="M465" t="str">
            <v>Total outstanding dues of creditors other than micro enterprises and small enterprises</v>
          </cell>
          <cell r="R465">
            <v>-0.46</v>
          </cell>
          <cell r="Z465">
            <v>0</v>
          </cell>
        </row>
        <row r="466">
          <cell r="M466" t="str">
            <v>Advance to Third parties</v>
          </cell>
          <cell r="R466">
            <v>0.3</v>
          </cell>
          <cell r="Z466">
            <v>0</v>
          </cell>
        </row>
        <row r="467">
          <cell r="M467" t="str">
            <v>Advance to Third parties</v>
          </cell>
          <cell r="R467">
            <v>0.25</v>
          </cell>
          <cell r="Z467">
            <v>0</v>
          </cell>
        </row>
        <row r="468">
          <cell r="M468" t="str">
            <v>Total outstanding dues of creditors other than micro enterprises and small enterprises</v>
          </cell>
          <cell r="R468">
            <v>0</v>
          </cell>
          <cell r="Z468">
            <v>0</v>
          </cell>
        </row>
        <row r="469">
          <cell r="M469" t="str">
            <v>Advance to Third parties</v>
          </cell>
          <cell r="R469">
            <v>1.08</v>
          </cell>
          <cell r="Z469">
            <v>0</v>
          </cell>
        </row>
        <row r="470">
          <cell r="M470" t="str">
            <v>Total outstanding dues of creditors other than micro enterprises and small enterprises</v>
          </cell>
          <cell r="R470">
            <v>-0.06</v>
          </cell>
          <cell r="Z470">
            <v>0</v>
          </cell>
        </row>
        <row r="471">
          <cell r="M471" t="str">
            <v>Total outstanding dues of creditors other than micro enterprises and small enterprises</v>
          </cell>
          <cell r="R471">
            <v>-17.260000000000002</v>
          </cell>
          <cell r="Z471">
            <v>0</v>
          </cell>
        </row>
        <row r="472">
          <cell r="M472" t="str">
            <v>Total outstanding dues of creditors other than micro enterprises and small enterprises</v>
          </cell>
          <cell r="R472">
            <v>-0.04</v>
          </cell>
          <cell r="Z472">
            <v>0</v>
          </cell>
        </row>
        <row r="473">
          <cell r="M473" t="str">
            <v>Total outstanding dues of creditors other than micro enterprises and small enterprises</v>
          </cell>
          <cell r="R473">
            <v>-2.82</v>
          </cell>
          <cell r="Z473">
            <v>0</v>
          </cell>
        </row>
        <row r="474">
          <cell r="M474" t="str">
            <v>Advance to Third parties</v>
          </cell>
          <cell r="R474">
            <v>0.11</v>
          </cell>
          <cell r="Z474">
            <v>0</v>
          </cell>
        </row>
        <row r="475">
          <cell r="M475" t="str">
            <v>Advance to Third parties</v>
          </cell>
          <cell r="R475">
            <v>1</v>
          </cell>
          <cell r="Z475">
            <v>0</v>
          </cell>
        </row>
        <row r="476">
          <cell r="M476" t="str">
            <v>Advance to Third parties</v>
          </cell>
          <cell r="R476">
            <v>0.32</v>
          </cell>
          <cell r="Z476">
            <v>0</v>
          </cell>
        </row>
        <row r="477">
          <cell r="M477" t="str">
            <v>Total outstanding dues of creditors other than micro enterprises and small enterprises</v>
          </cell>
          <cell r="R477">
            <v>-0.52</v>
          </cell>
          <cell r="Z477">
            <v>0</v>
          </cell>
        </row>
        <row r="478">
          <cell r="M478" t="str">
            <v>Advance to Third parties</v>
          </cell>
          <cell r="R478">
            <v>0.17</v>
          </cell>
          <cell r="Z478">
            <v>0</v>
          </cell>
        </row>
        <row r="479">
          <cell r="M479" t="str">
            <v>Advance to Third parties</v>
          </cell>
          <cell r="R479">
            <v>3.17</v>
          </cell>
          <cell r="Z479">
            <v>0</v>
          </cell>
        </row>
        <row r="480">
          <cell r="M480" t="str">
            <v>Advance to Third parties</v>
          </cell>
          <cell r="R480">
            <v>0.5</v>
          </cell>
          <cell r="Z480">
            <v>0</v>
          </cell>
        </row>
        <row r="481">
          <cell r="M481" t="str">
            <v>Total outstanding dues of creditors other than micro enterprises and small enterprises</v>
          </cell>
          <cell r="R481">
            <v>-0.56000000000000005</v>
          </cell>
          <cell r="Z481">
            <v>0</v>
          </cell>
        </row>
        <row r="482">
          <cell r="M482" t="str">
            <v>Advance to Third parties</v>
          </cell>
          <cell r="R482">
            <v>0.14000000000000001</v>
          </cell>
          <cell r="Z482">
            <v>0</v>
          </cell>
        </row>
        <row r="483">
          <cell r="M483" t="str">
            <v>Total outstanding dues of creditors other than micro enterprises and small enterprises</v>
          </cell>
          <cell r="R483">
            <v>-30</v>
          </cell>
          <cell r="Z483">
            <v>0</v>
          </cell>
        </row>
        <row r="484">
          <cell r="M484" t="str">
            <v>Advance to Third parties</v>
          </cell>
          <cell r="R484">
            <v>0.02</v>
          </cell>
          <cell r="Z484">
            <v>0</v>
          </cell>
        </row>
        <row r="485">
          <cell r="M485" t="str">
            <v>Total outstanding dues of creditors other than micro enterprises and small enterprises</v>
          </cell>
          <cell r="R485">
            <v>-2</v>
          </cell>
          <cell r="Z485">
            <v>0</v>
          </cell>
        </row>
        <row r="486">
          <cell r="M486" t="str">
            <v>Total outstanding dues of creditors other than micro enterprises and small enterprises</v>
          </cell>
          <cell r="R486">
            <v>-6.7</v>
          </cell>
          <cell r="Z486">
            <v>0</v>
          </cell>
        </row>
        <row r="487">
          <cell r="M487" t="str">
            <v>Total outstanding dues of creditors other than micro enterprises and small enterprises</v>
          </cell>
          <cell r="R487">
            <v>-0.15</v>
          </cell>
          <cell r="Z487">
            <v>0</v>
          </cell>
        </row>
        <row r="488">
          <cell r="M488" t="str">
            <v>Advance to Third parties</v>
          </cell>
          <cell r="R488">
            <v>0</v>
          </cell>
          <cell r="Z488">
            <v>0</v>
          </cell>
        </row>
        <row r="489">
          <cell r="M489" t="str">
            <v>Total outstanding dues of creditors other than micro enterprises and small enterprises</v>
          </cell>
          <cell r="R489">
            <v>-0.01</v>
          </cell>
          <cell r="Z489">
            <v>0</v>
          </cell>
        </row>
        <row r="490">
          <cell r="M490" t="str">
            <v>Advance to Third parties</v>
          </cell>
          <cell r="R490">
            <v>0.01</v>
          </cell>
          <cell r="Z490">
            <v>0</v>
          </cell>
        </row>
        <row r="491">
          <cell r="M491" t="str">
            <v>Total outstanding dues of creditors other than micro enterprises and small enterprises</v>
          </cell>
          <cell r="R491">
            <v>-20.170000000000002</v>
          </cell>
          <cell r="Z491">
            <v>0</v>
          </cell>
        </row>
        <row r="492">
          <cell r="M492" t="str">
            <v>Total outstanding dues of creditors other than micro enterprises and small enterprises</v>
          </cell>
          <cell r="R492">
            <v>-0.01</v>
          </cell>
          <cell r="Z492">
            <v>0</v>
          </cell>
        </row>
        <row r="493">
          <cell r="M493" t="str">
            <v>Total outstanding dues of creditors other than micro enterprises and small enterprises</v>
          </cell>
          <cell r="R493">
            <v>-1.1599999999999999</v>
          </cell>
          <cell r="Z493">
            <v>0</v>
          </cell>
        </row>
        <row r="494">
          <cell r="M494" t="str">
            <v>Advance to Third parties</v>
          </cell>
          <cell r="R494">
            <v>0.33</v>
          </cell>
          <cell r="Z494">
            <v>0</v>
          </cell>
        </row>
        <row r="495">
          <cell r="M495" t="str">
            <v>Total outstanding dues of creditors other than micro enterprises and small enterprises</v>
          </cell>
          <cell r="R495">
            <v>-0.39</v>
          </cell>
          <cell r="Z495">
            <v>0</v>
          </cell>
        </row>
        <row r="496">
          <cell r="M496" t="str">
            <v>Advance to Third parties</v>
          </cell>
          <cell r="R496">
            <v>0.2</v>
          </cell>
          <cell r="Z496">
            <v>0</v>
          </cell>
        </row>
        <row r="497">
          <cell r="M497" t="str">
            <v>Total outstanding dues of creditors other than micro enterprises and small enterprises</v>
          </cell>
          <cell r="R497">
            <v>-0.08</v>
          </cell>
          <cell r="Z497">
            <v>0</v>
          </cell>
        </row>
        <row r="498">
          <cell r="M498" t="str">
            <v>Total outstanding dues of creditors other than micro enterprises and small enterprises</v>
          </cell>
          <cell r="R498">
            <v>-0.71</v>
          </cell>
          <cell r="Z498">
            <v>0</v>
          </cell>
        </row>
        <row r="499">
          <cell r="M499" t="str">
            <v>Advance to Third parties</v>
          </cell>
          <cell r="R499">
            <v>0.09</v>
          </cell>
          <cell r="Z499">
            <v>0</v>
          </cell>
        </row>
        <row r="500">
          <cell r="M500" t="str">
            <v>Total outstanding dues of creditors other than micro enterprises and small enterprises</v>
          </cell>
          <cell r="R500">
            <v>-0.16</v>
          </cell>
          <cell r="Z500">
            <v>0</v>
          </cell>
        </row>
        <row r="501">
          <cell r="M501" t="str">
            <v>Total outstanding dues of creditors other than micro enterprises and small enterprises</v>
          </cell>
          <cell r="R501">
            <v>-66.06</v>
          </cell>
          <cell r="Z501">
            <v>0</v>
          </cell>
        </row>
        <row r="502">
          <cell r="M502" t="str">
            <v>Other Financial Liabilities</v>
          </cell>
          <cell r="R502">
            <v>-340.59</v>
          </cell>
          <cell r="Z502">
            <v>0</v>
          </cell>
        </row>
        <row r="503">
          <cell r="M503" t="str">
            <v>Total outstanding dues of creditors other than micro enterprises and small enterprises</v>
          </cell>
          <cell r="R503">
            <v>-0.27</v>
          </cell>
          <cell r="Z503">
            <v>0</v>
          </cell>
        </row>
        <row r="504">
          <cell r="M504" t="str">
            <v>Total outstanding dues of creditors other than micro enterprises and small enterprises</v>
          </cell>
          <cell r="R504">
            <v>-0.41</v>
          </cell>
          <cell r="Z504">
            <v>0</v>
          </cell>
        </row>
        <row r="505">
          <cell r="M505" t="str">
            <v>Total outstanding dues of creditors other than micro enterprises and small enterprises</v>
          </cell>
          <cell r="R505">
            <v>-5.21</v>
          </cell>
          <cell r="Z505">
            <v>0</v>
          </cell>
        </row>
        <row r="506">
          <cell r="M506" t="str">
            <v>Total outstanding dues of creditors other than micro enterprises and small enterprises</v>
          </cell>
          <cell r="R506">
            <v>-213.67</v>
          </cell>
          <cell r="Z506">
            <v>0</v>
          </cell>
        </row>
        <row r="507">
          <cell r="M507" t="str">
            <v>Total outstanding dues of creditors other than micro enterprises and small enterprises</v>
          </cell>
          <cell r="R507">
            <v>-0.23</v>
          </cell>
          <cell r="Z507">
            <v>0</v>
          </cell>
        </row>
        <row r="508">
          <cell r="M508" t="str">
            <v>Other Financial Liabilities</v>
          </cell>
          <cell r="R508">
            <v>-2.2799999999999998</v>
          </cell>
          <cell r="Z508">
            <v>0</v>
          </cell>
        </row>
        <row r="509">
          <cell r="M509" t="str">
            <v>Total outstanding dues of creditors other than micro enterprises and small enterprises</v>
          </cell>
          <cell r="R509">
            <v>-2.25</v>
          </cell>
          <cell r="Z509">
            <v>0</v>
          </cell>
        </row>
        <row r="510">
          <cell r="M510" t="str">
            <v>Other Financial Liabilities</v>
          </cell>
          <cell r="R510">
            <v>-390.89</v>
          </cell>
          <cell r="Z510">
            <v>0</v>
          </cell>
        </row>
        <row r="511">
          <cell r="M511" t="str">
            <v>Other Financial Liabilities</v>
          </cell>
          <cell r="R511">
            <v>-0.96</v>
          </cell>
          <cell r="Z511">
            <v>0</v>
          </cell>
        </row>
        <row r="512">
          <cell r="M512" t="str">
            <v>Total outstanding dues of creditors other than micro enterprises and small enterprises</v>
          </cell>
          <cell r="R512">
            <v>-0.42</v>
          </cell>
          <cell r="Z512">
            <v>0</v>
          </cell>
        </row>
        <row r="513">
          <cell r="M513" t="str">
            <v>Total outstanding dues of creditors other than micro enterprises and small enterprises</v>
          </cell>
          <cell r="R513">
            <v>-1.6</v>
          </cell>
          <cell r="Z513">
            <v>0</v>
          </cell>
        </row>
        <row r="514">
          <cell r="M514" t="str">
            <v>Total outstanding dues of creditors other than micro enterprises and small enterprises</v>
          </cell>
          <cell r="R514">
            <v>-6.5</v>
          </cell>
          <cell r="Z514">
            <v>0</v>
          </cell>
        </row>
        <row r="515">
          <cell r="M515" t="str">
            <v>Total outstanding dues of creditors other than micro enterprises and small enterprises</v>
          </cell>
          <cell r="R515">
            <v>-0.5</v>
          </cell>
          <cell r="Z515">
            <v>0</v>
          </cell>
        </row>
        <row r="516">
          <cell r="M516" t="str">
            <v>Other Financial Liabilities</v>
          </cell>
          <cell r="R516">
            <v>-68.08</v>
          </cell>
          <cell r="Z516">
            <v>0</v>
          </cell>
        </row>
        <row r="517">
          <cell r="M517" t="str">
            <v>Total outstanding dues of creditors other than micro enterprises and small enterprises</v>
          </cell>
          <cell r="R517">
            <v>-0.5</v>
          </cell>
          <cell r="Z517">
            <v>0</v>
          </cell>
        </row>
        <row r="518">
          <cell r="M518" t="str">
            <v>Other Financial Liabilities</v>
          </cell>
          <cell r="R518">
            <v>-2.34</v>
          </cell>
          <cell r="Z518">
            <v>0</v>
          </cell>
        </row>
        <row r="519">
          <cell r="M519" t="str">
            <v>Total outstanding dues of creditors other than micro enterprises and small enterprises</v>
          </cell>
          <cell r="R519">
            <v>-0.02</v>
          </cell>
          <cell r="Z519">
            <v>0</v>
          </cell>
        </row>
        <row r="520">
          <cell r="M520" t="str">
            <v>Advance to Third parties</v>
          </cell>
          <cell r="R520">
            <v>0.05</v>
          </cell>
          <cell r="Z520">
            <v>0</v>
          </cell>
        </row>
        <row r="521">
          <cell r="M521" t="str">
            <v>Total outstanding dues of creditors other than micro enterprises and small enterprises</v>
          </cell>
          <cell r="R521">
            <v>-1.07</v>
          </cell>
          <cell r="Z521">
            <v>0</v>
          </cell>
        </row>
        <row r="522">
          <cell r="M522" t="str">
            <v>Total outstanding dues of creditors other than micro enterprises and small enterprises</v>
          </cell>
          <cell r="R522">
            <v>-3</v>
          </cell>
          <cell r="Z522">
            <v>0</v>
          </cell>
        </row>
        <row r="523">
          <cell r="M523" t="str">
            <v>Total outstanding dues of creditors other than micro enterprises and small enterprises</v>
          </cell>
          <cell r="R523">
            <v>-0.02</v>
          </cell>
          <cell r="Z523">
            <v>0</v>
          </cell>
        </row>
        <row r="524">
          <cell r="M524" t="str">
            <v>Total outstanding dues of creditors other than micro enterprises and small enterprises</v>
          </cell>
          <cell r="R524">
            <v>-0.6</v>
          </cell>
          <cell r="Z524">
            <v>0</v>
          </cell>
        </row>
        <row r="525">
          <cell r="M525" t="str">
            <v>Total outstanding dues of creditors other than micro enterprises and small enterprises</v>
          </cell>
          <cell r="R525">
            <v>-0.41</v>
          </cell>
          <cell r="Z525">
            <v>0</v>
          </cell>
        </row>
        <row r="526">
          <cell r="M526" t="str">
            <v>Advance to Third parties</v>
          </cell>
          <cell r="R526">
            <v>0.36</v>
          </cell>
          <cell r="Z526">
            <v>0</v>
          </cell>
        </row>
        <row r="527">
          <cell r="M527" t="str">
            <v>Total outstanding dues of creditors other than micro enterprises and small enterprises</v>
          </cell>
          <cell r="R527">
            <v>-0.55000000000000004</v>
          </cell>
          <cell r="Z527">
            <v>0</v>
          </cell>
        </row>
        <row r="528">
          <cell r="M528" t="str">
            <v>Total outstanding dues of creditors other than micro enterprises and small enterprises</v>
          </cell>
          <cell r="R528">
            <v>-16.66</v>
          </cell>
          <cell r="Z528">
            <v>0</v>
          </cell>
        </row>
        <row r="529">
          <cell r="M529" t="str">
            <v>Total outstanding dues of creditors other than micro enterprises and small enterprises</v>
          </cell>
          <cell r="R529">
            <v>-0.16</v>
          </cell>
          <cell r="Z529">
            <v>0</v>
          </cell>
        </row>
        <row r="530">
          <cell r="M530" t="str">
            <v>Total outstanding dues of creditors other than micro enterprises and small enterprises</v>
          </cell>
          <cell r="R530">
            <v>-0.48</v>
          </cell>
          <cell r="Z530">
            <v>0</v>
          </cell>
        </row>
        <row r="531">
          <cell r="M531" t="str">
            <v>Total outstanding dues of creditors other than micro enterprises and small enterprises</v>
          </cell>
          <cell r="R531">
            <v>-0.59</v>
          </cell>
          <cell r="Z531">
            <v>0</v>
          </cell>
        </row>
        <row r="532">
          <cell r="M532" t="str">
            <v>Total outstanding dues of creditors other than micro enterprises and small enterprises</v>
          </cell>
          <cell r="R532">
            <v>-0.06</v>
          </cell>
          <cell r="Z532">
            <v>0</v>
          </cell>
        </row>
        <row r="533">
          <cell r="M533" t="str">
            <v>Total outstanding dues of creditors other than micro enterprises and small enterprises</v>
          </cell>
          <cell r="R533">
            <v>-1110.01</v>
          </cell>
          <cell r="Z533">
            <v>0</v>
          </cell>
        </row>
        <row r="534">
          <cell r="M534" t="str">
            <v>Total outstanding dues of creditors other than micro enterprises and small enterprises</v>
          </cell>
          <cell r="R534">
            <v>-0.63</v>
          </cell>
          <cell r="Z534">
            <v>0</v>
          </cell>
        </row>
        <row r="535">
          <cell r="M535" t="str">
            <v>Total outstanding dues of creditors other than micro enterprises and small enterprises</v>
          </cell>
          <cell r="R535">
            <v>-0.9</v>
          </cell>
          <cell r="Z535">
            <v>0</v>
          </cell>
        </row>
        <row r="536">
          <cell r="M536" t="str">
            <v>Advance to Third parties</v>
          </cell>
          <cell r="R536">
            <v>7.0000000000000007E-2</v>
          </cell>
          <cell r="Z536">
            <v>0</v>
          </cell>
        </row>
        <row r="537">
          <cell r="M537" t="str">
            <v>Advance to Third parties</v>
          </cell>
          <cell r="R537">
            <v>0.03</v>
          </cell>
          <cell r="Z537">
            <v>0</v>
          </cell>
        </row>
        <row r="538">
          <cell r="M538" t="str">
            <v>Advance to Third parties</v>
          </cell>
          <cell r="R538">
            <v>0.28000000000000003</v>
          </cell>
          <cell r="Z538">
            <v>0</v>
          </cell>
        </row>
        <row r="539">
          <cell r="M539" t="str">
            <v>Total outstanding dues of creditors other than micro enterprises and small enterprises</v>
          </cell>
          <cell r="R539">
            <v>-0.81</v>
          </cell>
          <cell r="Z539">
            <v>0</v>
          </cell>
        </row>
        <row r="540">
          <cell r="M540" t="str">
            <v>Total outstanding dues of creditors other than micro enterprises and small enterprises</v>
          </cell>
          <cell r="R540">
            <v>-1</v>
          </cell>
          <cell r="Z540">
            <v>0</v>
          </cell>
        </row>
        <row r="541">
          <cell r="M541" t="str">
            <v>Total outstanding dues of creditors other than micro enterprises and small enterprises</v>
          </cell>
          <cell r="R541">
            <v>-2.79</v>
          </cell>
          <cell r="Z541">
            <v>0</v>
          </cell>
        </row>
        <row r="542">
          <cell r="M542" t="str">
            <v>Advance to Third parties</v>
          </cell>
          <cell r="R542">
            <v>0.48</v>
          </cell>
          <cell r="Z542">
            <v>0</v>
          </cell>
        </row>
        <row r="543">
          <cell r="M543" t="str">
            <v>Total outstanding dues of creditors other than micro enterprises and small enterprises</v>
          </cell>
          <cell r="R543">
            <v>-7.0000000000000007E-2</v>
          </cell>
          <cell r="Z543">
            <v>0</v>
          </cell>
        </row>
        <row r="544">
          <cell r="M544" t="str">
            <v>Advance to Third parties</v>
          </cell>
          <cell r="R544">
            <v>0.02</v>
          </cell>
          <cell r="Z544">
            <v>0</v>
          </cell>
        </row>
        <row r="545">
          <cell r="M545" t="str">
            <v>Total outstanding dues of creditors other than micro enterprises and small enterprises</v>
          </cell>
          <cell r="R545">
            <v>-1.62</v>
          </cell>
          <cell r="Z545">
            <v>0</v>
          </cell>
        </row>
        <row r="546">
          <cell r="M546" t="str">
            <v>Total outstanding dues of creditors other than micro enterprises and small enterprises</v>
          </cell>
          <cell r="R546">
            <v>-0.08</v>
          </cell>
          <cell r="Z546">
            <v>0</v>
          </cell>
        </row>
        <row r="547">
          <cell r="M547" t="str">
            <v>Total outstanding dues of creditors other than micro enterprises and small enterprises</v>
          </cell>
          <cell r="R547">
            <v>-0.01</v>
          </cell>
          <cell r="Z547">
            <v>0</v>
          </cell>
        </row>
        <row r="548">
          <cell r="M548" t="str">
            <v>Advance to Third parties</v>
          </cell>
          <cell r="R548">
            <v>0.42</v>
          </cell>
          <cell r="Z548">
            <v>0</v>
          </cell>
        </row>
        <row r="549">
          <cell r="M549" t="str">
            <v>Advance to Third parties</v>
          </cell>
          <cell r="R549">
            <v>0.41</v>
          </cell>
          <cell r="Z549">
            <v>0</v>
          </cell>
        </row>
        <row r="550">
          <cell r="M550" t="str">
            <v>Total outstanding dues of creditors other than micro enterprises and small enterprises</v>
          </cell>
          <cell r="R550">
            <v>-2.52</v>
          </cell>
          <cell r="Z550">
            <v>0</v>
          </cell>
        </row>
        <row r="551">
          <cell r="M551" t="str">
            <v>Total outstanding dues of creditors other than micro enterprises and small enterprises</v>
          </cell>
          <cell r="R551">
            <v>-4.95</v>
          </cell>
          <cell r="Z551">
            <v>0</v>
          </cell>
        </row>
        <row r="552">
          <cell r="M552" t="str">
            <v>Total outstanding dues of creditors other than micro enterprises and small enterprises</v>
          </cell>
          <cell r="R552">
            <v>-0.06</v>
          </cell>
          <cell r="Z552">
            <v>0</v>
          </cell>
        </row>
        <row r="553">
          <cell r="M553" t="str">
            <v>Total outstanding dues of creditors other than micro enterprises and small enterprises</v>
          </cell>
          <cell r="R553">
            <v>-0.26</v>
          </cell>
          <cell r="Z553">
            <v>0</v>
          </cell>
        </row>
        <row r="554">
          <cell r="M554" t="str">
            <v>Total outstanding dues of creditors other than micro enterprises and small enterprises</v>
          </cell>
          <cell r="R554">
            <v>-1.17</v>
          </cell>
          <cell r="Z554">
            <v>0</v>
          </cell>
        </row>
        <row r="555">
          <cell r="M555" t="str">
            <v>Deferred tax liability</v>
          </cell>
          <cell r="R555">
            <v>-177.31</v>
          </cell>
          <cell r="Z555">
            <v>0</v>
          </cell>
        </row>
        <row r="556">
          <cell r="M556" t="str">
            <v>Total outstanding dues of creditors other than micro enterprises and small enterprises</v>
          </cell>
          <cell r="R556">
            <v>-4.59</v>
          </cell>
          <cell r="Z556">
            <v>0</v>
          </cell>
        </row>
        <row r="557">
          <cell r="M557" t="str">
            <v>Total outstanding dues of creditors other than micro enterprises and small enterprises</v>
          </cell>
          <cell r="R557">
            <v>-0.86</v>
          </cell>
          <cell r="Z557">
            <v>0</v>
          </cell>
        </row>
        <row r="558">
          <cell r="M558" t="str">
            <v>Total outstanding dues of creditors other than micro enterprises and small enterprises</v>
          </cell>
          <cell r="R558">
            <v>-16.86</v>
          </cell>
          <cell r="Z558">
            <v>0</v>
          </cell>
        </row>
        <row r="559">
          <cell r="M559" t="str">
            <v>Total outstanding dues of creditors other than micro enterprises and small enterprises</v>
          </cell>
          <cell r="R559">
            <v>-20.76</v>
          </cell>
          <cell r="Z559">
            <v>0</v>
          </cell>
        </row>
        <row r="560">
          <cell r="M560" t="str">
            <v>Payable to Employees</v>
          </cell>
          <cell r="R560">
            <v>-11.96</v>
          </cell>
          <cell r="Z560">
            <v>0</v>
          </cell>
        </row>
        <row r="561">
          <cell r="M561" t="str">
            <v>Accumulated depreciation</v>
          </cell>
          <cell r="R561">
            <v>-3.71</v>
          </cell>
          <cell r="Z561">
            <v>0</v>
          </cell>
        </row>
        <row r="562">
          <cell r="M562" t="str">
            <v>Accumulated depreciation</v>
          </cell>
          <cell r="R562">
            <v>-1.85</v>
          </cell>
          <cell r="Z562">
            <v>0</v>
          </cell>
        </row>
        <row r="563">
          <cell r="M563" t="str">
            <v>Accumulated depreciation</v>
          </cell>
          <cell r="R563">
            <v>-0.72</v>
          </cell>
          <cell r="Z563">
            <v>0</v>
          </cell>
        </row>
        <row r="564">
          <cell r="M564" t="str">
            <v>Accumulated depreciation</v>
          </cell>
          <cell r="R564">
            <v>-2.14</v>
          </cell>
          <cell r="Z564">
            <v>0</v>
          </cell>
        </row>
        <row r="565">
          <cell r="M565" t="str">
            <v>Accumulated depreciation</v>
          </cell>
          <cell r="R565">
            <v>-2.5</v>
          </cell>
          <cell r="Z565">
            <v>0</v>
          </cell>
        </row>
        <row r="566">
          <cell r="M566" t="str">
            <v>Accumulated depreciation</v>
          </cell>
          <cell r="R566">
            <v>-7.14</v>
          </cell>
          <cell r="Z566">
            <v>0</v>
          </cell>
        </row>
        <row r="567">
          <cell r="M567" t="str">
            <v>Accumulated depreciation</v>
          </cell>
          <cell r="R567">
            <v>-320.3</v>
          </cell>
          <cell r="Z567">
            <v>0</v>
          </cell>
        </row>
        <row r="568">
          <cell r="M568" t="str">
            <v>Accumulated depreciation</v>
          </cell>
          <cell r="R568">
            <v>-25.19</v>
          </cell>
          <cell r="Z568">
            <v>0</v>
          </cell>
        </row>
        <row r="569">
          <cell r="M569" t="str">
            <v>Accumulated depreciation</v>
          </cell>
          <cell r="R569">
            <v>-23.1</v>
          </cell>
          <cell r="Z569">
            <v>0</v>
          </cell>
        </row>
        <row r="570">
          <cell r="M570" t="str">
            <v>Accumulated depreciation</v>
          </cell>
          <cell r="R570">
            <v>-0.46</v>
          </cell>
          <cell r="Z570">
            <v>0</v>
          </cell>
        </row>
        <row r="571">
          <cell r="M571" t="str">
            <v>Accumulated depreciation</v>
          </cell>
          <cell r="R571">
            <v>-0.05</v>
          </cell>
          <cell r="Z571">
            <v>0</v>
          </cell>
        </row>
        <row r="572">
          <cell r="M572" t="str">
            <v>Building-Factory</v>
          </cell>
          <cell r="R572">
            <v>482.03</v>
          </cell>
          <cell r="Z572">
            <v>0</v>
          </cell>
        </row>
        <row r="573">
          <cell r="M573" t="str">
            <v>Computers</v>
          </cell>
          <cell r="R573">
            <v>3.24</v>
          </cell>
          <cell r="Z573">
            <v>0</v>
          </cell>
        </row>
        <row r="574">
          <cell r="M574" t="str">
            <v>Land</v>
          </cell>
          <cell r="R574">
            <v>476.17</v>
          </cell>
          <cell r="Z574">
            <v>0</v>
          </cell>
        </row>
        <row r="575">
          <cell r="M575" t="str">
            <v>Furniture and fixtures</v>
          </cell>
          <cell r="R575">
            <v>3.3</v>
          </cell>
          <cell r="Z575">
            <v>0</v>
          </cell>
        </row>
        <row r="576">
          <cell r="M576" t="str">
            <v>software</v>
          </cell>
          <cell r="R576">
            <v>0.51</v>
          </cell>
          <cell r="Z576">
            <v>0</v>
          </cell>
        </row>
        <row r="577">
          <cell r="M577" t="str">
            <v>Office Equipment</v>
          </cell>
          <cell r="R577">
            <v>25.52</v>
          </cell>
          <cell r="Z577">
            <v>0</v>
          </cell>
        </row>
        <row r="578">
          <cell r="M578" t="str">
            <v xml:space="preserve">Plant and machinery </v>
          </cell>
          <cell r="R578">
            <v>3874.95</v>
          </cell>
          <cell r="Z578">
            <v>0</v>
          </cell>
        </row>
        <row r="579">
          <cell r="M579" t="str">
            <v>Building-Factory</v>
          </cell>
          <cell r="R579">
            <v>33.200000000000003</v>
          </cell>
          <cell r="Z579">
            <v>0</v>
          </cell>
        </row>
        <row r="580">
          <cell r="M580" t="str">
            <v>cost of raw material consumed</v>
          </cell>
          <cell r="R580">
            <v>181.54</v>
          </cell>
          <cell r="Z580">
            <v>0</v>
          </cell>
        </row>
        <row r="581">
          <cell r="M581" t="str">
            <v>Bank balances with less than 12 months more than 3 months</v>
          </cell>
          <cell r="R581">
            <v>5</v>
          </cell>
          <cell r="Z581">
            <v>0</v>
          </cell>
        </row>
        <row r="582">
          <cell r="M582" t="str">
            <v>Advance to Third parties</v>
          </cell>
          <cell r="R582">
            <v>1.75</v>
          </cell>
          <cell r="Z582">
            <v>0</v>
          </cell>
        </row>
        <row r="583">
          <cell r="M583" t="str">
            <v>Advance to Third parties</v>
          </cell>
          <cell r="R583">
            <v>0.93</v>
          </cell>
          <cell r="Z583">
            <v>0</v>
          </cell>
        </row>
        <row r="584">
          <cell r="M584" t="str">
            <v>Advance to Third parties</v>
          </cell>
          <cell r="R584">
            <v>0.05</v>
          </cell>
          <cell r="Z584">
            <v>0</v>
          </cell>
        </row>
        <row r="585">
          <cell r="M585" t="str">
            <v>Advance to Third parties</v>
          </cell>
          <cell r="R585">
            <v>2</v>
          </cell>
          <cell r="Z585">
            <v>0</v>
          </cell>
        </row>
        <row r="586">
          <cell r="M586" t="str">
            <v>Advance to Third parties</v>
          </cell>
          <cell r="R586">
            <v>0.56000000000000005</v>
          </cell>
          <cell r="Z586">
            <v>0</v>
          </cell>
        </row>
        <row r="587">
          <cell r="M587" t="str">
            <v>Advance to Third parties</v>
          </cell>
          <cell r="R587">
            <v>2</v>
          </cell>
          <cell r="Z587">
            <v>0</v>
          </cell>
        </row>
        <row r="588">
          <cell r="M588" t="str">
            <v>Advance to Third parties</v>
          </cell>
          <cell r="R588">
            <v>2.15</v>
          </cell>
          <cell r="Z588">
            <v>0</v>
          </cell>
        </row>
        <row r="589">
          <cell r="M589" t="str">
            <v>Advance to Third parties</v>
          </cell>
          <cell r="R589">
            <v>1.5</v>
          </cell>
          <cell r="Z589">
            <v>0</v>
          </cell>
        </row>
        <row r="590">
          <cell r="M590" t="str">
            <v>Advance to Third parties</v>
          </cell>
          <cell r="R590">
            <v>0.75</v>
          </cell>
          <cell r="Z590">
            <v>0</v>
          </cell>
        </row>
        <row r="591">
          <cell r="M591" t="str">
            <v>Advance to Third parties</v>
          </cell>
          <cell r="R591">
            <v>5.78</v>
          </cell>
          <cell r="Z591">
            <v>0</v>
          </cell>
        </row>
        <row r="592">
          <cell r="M592" t="str">
            <v>Advance to Third parties</v>
          </cell>
          <cell r="R592">
            <v>0</v>
          </cell>
          <cell r="Z592">
            <v>0</v>
          </cell>
        </row>
        <row r="593">
          <cell r="M593" t="str">
            <v>- Considered good</v>
          </cell>
          <cell r="R593">
            <v>128.55000000000001</v>
          </cell>
          <cell r="Z593">
            <v>0</v>
          </cell>
        </row>
        <row r="594">
          <cell r="M594" t="str">
            <v>Cash in hand</v>
          </cell>
          <cell r="R594">
            <v>0.06</v>
          </cell>
          <cell r="Z594">
            <v>0</v>
          </cell>
        </row>
        <row r="595">
          <cell r="M595" t="str">
            <v>On current accounts</v>
          </cell>
          <cell r="R595">
            <v>1.18</v>
          </cell>
          <cell r="Z595">
            <v>0</v>
          </cell>
        </row>
        <row r="596">
          <cell r="M596" t="str">
            <v>On current accounts</v>
          </cell>
          <cell r="R596">
            <v>0.13</v>
          </cell>
          <cell r="Z596">
            <v>0</v>
          </cell>
        </row>
        <row r="597">
          <cell r="M597" t="str">
            <v>Balance with Government authorities</v>
          </cell>
          <cell r="R597">
            <v>0</v>
          </cell>
          <cell r="Z597">
            <v>0</v>
          </cell>
        </row>
        <row r="598">
          <cell r="M598" t="str">
            <v>Balance with Government authorities</v>
          </cell>
          <cell r="R598">
            <v>9.59</v>
          </cell>
          <cell r="Z598">
            <v>0</v>
          </cell>
        </row>
        <row r="599">
          <cell r="M599" t="str">
            <v>Prepaid expenses</v>
          </cell>
          <cell r="R599">
            <v>3.47</v>
          </cell>
          <cell r="Z599">
            <v>0</v>
          </cell>
        </row>
        <row r="600">
          <cell r="M600" t="str">
            <v>Income Tax Asset (Net)</v>
          </cell>
          <cell r="R600">
            <v>1.55</v>
          </cell>
          <cell r="Z600">
            <v>0</v>
          </cell>
        </row>
        <row r="601">
          <cell r="M601" t="str">
            <v>Balance with Government authorities</v>
          </cell>
          <cell r="R601">
            <v>5.83</v>
          </cell>
          <cell r="Z601">
            <v>0</v>
          </cell>
        </row>
        <row r="602">
          <cell r="M602" t="str">
            <v>Acrrued Interest Receivable</v>
          </cell>
          <cell r="R602">
            <v>0.48</v>
          </cell>
          <cell r="Z602">
            <v>0</v>
          </cell>
        </row>
        <row r="603">
          <cell r="M603" t="str">
            <v>Balance with Government authorities</v>
          </cell>
          <cell r="R603">
            <v>25.86</v>
          </cell>
          <cell r="Z603">
            <v>0</v>
          </cell>
        </row>
        <row r="604">
          <cell r="M604" t="str">
            <v>Balance with Government authorities</v>
          </cell>
          <cell r="R604">
            <v>331.73</v>
          </cell>
          <cell r="Z604">
            <v>0</v>
          </cell>
        </row>
        <row r="605">
          <cell r="M605" t="str">
            <v>Income Tax Asset (Net)</v>
          </cell>
          <cell r="R605">
            <v>0.47</v>
          </cell>
          <cell r="Z605">
            <v>0</v>
          </cell>
        </row>
        <row r="606">
          <cell r="M606" t="str">
            <v xml:space="preserve">Sale of goods </v>
          </cell>
          <cell r="R606">
            <v>-889.79</v>
          </cell>
          <cell r="Z606">
            <v>0</v>
          </cell>
        </row>
        <row r="607">
          <cell r="M607" t="str">
            <v xml:space="preserve">Sale of goods </v>
          </cell>
          <cell r="R607">
            <v>-15.09</v>
          </cell>
          <cell r="Z607">
            <v>0</v>
          </cell>
        </row>
        <row r="608">
          <cell r="M608" t="str">
            <v>Repairs and maintenance - Plant and Machinery</v>
          </cell>
          <cell r="R608">
            <v>7.0000000000000007E-2</v>
          </cell>
          <cell r="Z608">
            <v>0</v>
          </cell>
        </row>
        <row r="609">
          <cell r="M609" t="str">
            <v xml:space="preserve">Sale of goods </v>
          </cell>
          <cell r="R609">
            <v>-19.09</v>
          </cell>
          <cell r="Z609">
            <v>0</v>
          </cell>
        </row>
        <row r="610">
          <cell r="M610" t="str">
            <v>cost of raw material consumed</v>
          </cell>
          <cell r="R610">
            <v>2</v>
          </cell>
          <cell r="Z610">
            <v>0</v>
          </cell>
        </row>
        <row r="611">
          <cell r="M611" t="str">
            <v>cost of raw material consumed</v>
          </cell>
          <cell r="R611">
            <v>377.8</v>
          </cell>
          <cell r="Z611">
            <v>0</v>
          </cell>
        </row>
        <row r="612">
          <cell r="M612" t="str">
            <v>Cost of raw material consumed</v>
          </cell>
          <cell r="R612">
            <v>120.18</v>
          </cell>
          <cell r="Z612">
            <v>0</v>
          </cell>
        </row>
        <row r="613">
          <cell r="M613" t="str">
            <v>Power and fuel</v>
          </cell>
          <cell r="R613">
            <v>58.82</v>
          </cell>
          <cell r="Z613">
            <v>0</v>
          </cell>
        </row>
        <row r="614">
          <cell r="M614" t="str">
            <v>Power and fuel</v>
          </cell>
          <cell r="R614">
            <v>19.27</v>
          </cell>
          <cell r="Z614">
            <v>0</v>
          </cell>
        </row>
        <row r="615">
          <cell r="M615" t="str">
            <v>Power and fuel</v>
          </cell>
          <cell r="R615">
            <v>117.69</v>
          </cell>
          <cell r="Z615">
            <v>0</v>
          </cell>
        </row>
        <row r="616">
          <cell r="M616" t="str">
            <v>Selling and distribution expenses</v>
          </cell>
          <cell r="R616">
            <v>9.1300000000000008</v>
          </cell>
          <cell r="Z616">
            <v>0</v>
          </cell>
        </row>
        <row r="617">
          <cell r="M617" t="str">
            <v>Labour Charges</v>
          </cell>
          <cell r="R617">
            <v>14.23</v>
          </cell>
          <cell r="Z617">
            <v>0</v>
          </cell>
        </row>
        <row r="618">
          <cell r="M618" t="str">
            <v>Consumption of stores &amp; spares and consumables</v>
          </cell>
          <cell r="R618">
            <v>8.34</v>
          </cell>
          <cell r="Z618">
            <v>0</v>
          </cell>
        </row>
        <row r="619">
          <cell r="M619" t="str">
            <v>Selling and distribution expenses</v>
          </cell>
          <cell r="R619">
            <v>105.5</v>
          </cell>
          <cell r="Z619">
            <v>0</v>
          </cell>
        </row>
        <row r="620">
          <cell r="M620" t="str">
            <v>Other Interest Income</v>
          </cell>
          <cell r="R620">
            <v>-8.81</v>
          </cell>
          <cell r="Z620">
            <v>0</v>
          </cell>
        </row>
        <row r="621">
          <cell r="M621" t="str">
            <v>Other Interest Income</v>
          </cell>
          <cell r="R621">
            <v>-0.48</v>
          </cell>
          <cell r="Z621">
            <v>0</v>
          </cell>
        </row>
        <row r="622">
          <cell r="M622" t="str">
            <v>Other Interest Income</v>
          </cell>
          <cell r="R622">
            <v>-0.05</v>
          </cell>
          <cell r="Z622">
            <v>0</v>
          </cell>
        </row>
        <row r="623">
          <cell r="M623" t="str">
            <v>Interest subvention income</v>
          </cell>
          <cell r="R623">
            <v>-21.14</v>
          </cell>
          <cell r="Z623">
            <v>0</v>
          </cell>
        </row>
        <row r="624">
          <cell r="M624" t="str">
            <v>Government Grant</v>
          </cell>
          <cell r="R624">
            <v>-18.32</v>
          </cell>
          <cell r="Z624">
            <v>0</v>
          </cell>
        </row>
        <row r="625">
          <cell r="M625" t="str">
            <v>Miscellaneous expenses</v>
          </cell>
          <cell r="R625">
            <v>0.04</v>
          </cell>
          <cell r="Z625">
            <v>0</v>
          </cell>
        </row>
        <row r="626">
          <cell r="M626" t="str">
            <v xml:space="preserve">Bank charges </v>
          </cell>
          <cell r="R626">
            <v>5.6</v>
          </cell>
          <cell r="Z626">
            <v>0</v>
          </cell>
        </row>
        <row r="627">
          <cell r="M627" t="str">
            <v>Interest on borrowing</v>
          </cell>
          <cell r="R627">
            <v>21.54</v>
          </cell>
          <cell r="Z627">
            <v>0</v>
          </cell>
        </row>
        <row r="628">
          <cell r="M628" t="str">
            <v>Interest on borrowing</v>
          </cell>
          <cell r="R628">
            <v>367.98</v>
          </cell>
          <cell r="Z628">
            <v>0</v>
          </cell>
        </row>
        <row r="629">
          <cell r="M629" t="str">
            <v>Other Finance</v>
          </cell>
          <cell r="R629">
            <v>0.66</v>
          </cell>
          <cell r="Z629">
            <v>0</v>
          </cell>
        </row>
        <row r="630">
          <cell r="M630" t="str">
            <v>Miscellaneous expenses</v>
          </cell>
          <cell r="R630">
            <v>0.57999999999999996</v>
          </cell>
          <cell r="Z630">
            <v>0</v>
          </cell>
        </row>
        <row r="631">
          <cell r="M631" t="str">
            <v>Rates and taxes</v>
          </cell>
          <cell r="R631">
            <v>2.76</v>
          </cell>
          <cell r="Z631">
            <v>0</v>
          </cell>
        </row>
        <row r="632">
          <cell r="M632" t="str">
            <v>Legal and professional charges</v>
          </cell>
          <cell r="R632">
            <v>13.8</v>
          </cell>
          <cell r="Z632">
            <v>0</v>
          </cell>
        </row>
        <row r="633">
          <cell r="M633" t="str">
            <v>Miscellaneous expenses</v>
          </cell>
          <cell r="R633">
            <v>1.17</v>
          </cell>
          <cell r="Z633">
            <v>0</v>
          </cell>
        </row>
        <row r="634">
          <cell r="M634" t="str">
            <v>Rent Expense</v>
          </cell>
          <cell r="R634">
            <v>15.61</v>
          </cell>
          <cell r="Z634">
            <v>0</v>
          </cell>
        </row>
        <row r="635">
          <cell r="M635" t="str">
            <v>Repairs and maintenance - others</v>
          </cell>
          <cell r="R635">
            <v>2.64</v>
          </cell>
          <cell r="Z635">
            <v>0</v>
          </cell>
        </row>
        <row r="636">
          <cell r="M636" t="str">
            <v>Repairs and maintenance - Plant and Machinery</v>
          </cell>
          <cell r="R636">
            <v>92.89</v>
          </cell>
          <cell r="Z636">
            <v>0</v>
          </cell>
        </row>
        <row r="637">
          <cell r="M637" t="str">
            <v>Repairs and maintenance - others</v>
          </cell>
          <cell r="R637">
            <v>1.69</v>
          </cell>
          <cell r="Z637">
            <v>0</v>
          </cell>
        </row>
        <row r="638">
          <cell r="M638" t="str">
            <v>Repairs and maintenance - others</v>
          </cell>
          <cell r="R638">
            <v>7.02</v>
          </cell>
          <cell r="Z638">
            <v>0</v>
          </cell>
        </row>
        <row r="639">
          <cell r="M639" t="str">
            <v>Contribution to Provident Fund and ESI</v>
          </cell>
          <cell r="R639">
            <v>0.5</v>
          </cell>
          <cell r="Z639">
            <v>0</v>
          </cell>
        </row>
        <row r="640">
          <cell r="M640" t="str">
            <v>Contribution to Provident Fund and ESI</v>
          </cell>
          <cell r="R640">
            <v>6.33</v>
          </cell>
          <cell r="Z640">
            <v>0</v>
          </cell>
        </row>
        <row r="641">
          <cell r="M641" t="str">
            <v>Contribution to Provident Fund and ESI</v>
          </cell>
          <cell r="R641">
            <v>0.94</v>
          </cell>
          <cell r="Z641">
            <v>0</v>
          </cell>
        </row>
        <row r="642">
          <cell r="M642" t="str">
            <v>Salaries, wages, bonus and other allowances</v>
          </cell>
          <cell r="R642">
            <v>131.55000000000001</v>
          </cell>
          <cell r="Z642">
            <v>0</v>
          </cell>
        </row>
        <row r="643">
          <cell r="M643" t="str">
            <v>Staff welfare expenses</v>
          </cell>
          <cell r="R643">
            <v>0.3</v>
          </cell>
          <cell r="Z643">
            <v>0</v>
          </cell>
        </row>
        <row r="644">
          <cell r="M644" t="str">
            <v>Travel and conveyance</v>
          </cell>
          <cell r="R644">
            <v>7.74</v>
          </cell>
          <cell r="Z644">
            <v>0</v>
          </cell>
        </row>
        <row r="645">
          <cell r="M645" t="str">
            <v>Legal and professional charges</v>
          </cell>
          <cell r="R645">
            <v>6.63</v>
          </cell>
          <cell r="Z645">
            <v>0</v>
          </cell>
        </row>
        <row r="646">
          <cell r="M646" t="str">
            <v>Legal and professional charges</v>
          </cell>
          <cell r="R646">
            <v>0.03</v>
          </cell>
          <cell r="Z646">
            <v>0</v>
          </cell>
        </row>
        <row r="647">
          <cell r="M647" t="str">
            <v>Miscellaneous expenses</v>
          </cell>
          <cell r="R647">
            <v>0.39</v>
          </cell>
          <cell r="Z647">
            <v>0</v>
          </cell>
        </row>
        <row r="648">
          <cell r="M648" t="str">
            <v>Depreciation (Refer Note 6)</v>
          </cell>
          <cell r="R648">
            <v>187.55</v>
          </cell>
          <cell r="Z648">
            <v>0</v>
          </cell>
        </row>
        <row r="649">
          <cell r="M649" t="str">
            <v>Power and fuel</v>
          </cell>
          <cell r="R649">
            <v>0.17</v>
          </cell>
          <cell r="Z649">
            <v>0</v>
          </cell>
        </row>
        <row r="650">
          <cell r="M650" t="str">
            <v>Gratuity and compensated absences expenses (Refer note 36)</v>
          </cell>
          <cell r="R650">
            <v>2.93</v>
          </cell>
          <cell r="Z650">
            <v>1.2</v>
          </cell>
        </row>
        <row r="651">
          <cell r="M651" t="str">
            <v>Re-measurement gains/ (losses) on defined benefit plans</v>
          </cell>
          <cell r="R651">
            <v>1.39</v>
          </cell>
          <cell r="Z651">
            <v>0</v>
          </cell>
        </row>
        <row r="652">
          <cell r="M652" t="str">
            <v>Miscellaneous expenses</v>
          </cell>
          <cell r="R652">
            <v>7.12</v>
          </cell>
          <cell r="Z652">
            <v>0</v>
          </cell>
        </row>
        <row r="653">
          <cell r="M653" t="str">
            <v>Insurance expenses</v>
          </cell>
          <cell r="R653">
            <v>9.7100000000000009</v>
          </cell>
          <cell r="Z653">
            <v>0</v>
          </cell>
        </row>
        <row r="654">
          <cell r="M654" t="str">
            <v>Interest on borrowing</v>
          </cell>
          <cell r="R654">
            <v>11.36</v>
          </cell>
          <cell r="Z654">
            <v>0</v>
          </cell>
        </row>
        <row r="655">
          <cell r="M655" t="str">
            <v>Rates and taxes</v>
          </cell>
          <cell r="R655">
            <v>0.25</v>
          </cell>
          <cell r="Z655">
            <v>0</v>
          </cell>
        </row>
        <row r="656">
          <cell r="M656" t="str">
            <v>Miscellaneous expenses</v>
          </cell>
          <cell r="R656">
            <v>0.01</v>
          </cell>
          <cell r="Z656">
            <v>0</v>
          </cell>
        </row>
        <row r="657">
          <cell r="M657" t="str">
            <v>Salaries, wages, bonus and other allowances</v>
          </cell>
          <cell r="R657">
            <v>4.96</v>
          </cell>
          <cell r="Z657">
            <v>0</v>
          </cell>
        </row>
        <row r="658">
          <cell r="M658" t="str">
            <v xml:space="preserve">Leave encashment </v>
          </cell>
          <cell r="R658">
            <v>1.03</v>
          </cell>
          <cell r="Z658">
            <v>1.48</v>
          </cell>
        </row>
        <row r="659">
          <cell r="M659" t="str">
            <v>Rates and taxes</v>
          </cell>
          <cell r="R659">
            <v>0.33</v>
          </cell>
          <cell r="Z659">
            <v>0</v>
          </cell>
        </row>
        <row r="660">
          <cell r="M660" t="str">
            <v>Miscellaneous expenses</v>
          </cell>
          <cell r="R660">
            <v>0.27</v>
          </cell>
          <cell r="Z660">
            <v>0</v>
          </cell>
        </row>
        <row r="661">
          <cell r="M661" t="str">
            <v>Miscellaneous expenses</v>
          </cell>
          <cell r="R661">
            <v>7.0000000000000007E-2</v>
          </cell>
          <cell r="Z661">
            <v>0</v>
          </cell>
        </row>
        <row r="662">
          <cell r="M662" t="str">
            <v>Travel and conveyance</v>
          </cell>
          <cell r="R662">
            <v>0.34</v>
          </cell>
          <cell r="Z662">
            <v>0</v>
          </cell>
        </row>
        <row r="663">
          <cell r="M663" t="str">
            <v>Miscellaneous expenses</v>
          </cell>
          <cell r="R663">
            <v>0.91</v>
          </cell>
          <cell r="Z663">
            <v>0</v>
          </cell>
        </row>
        <row r="664">
          <cell r="M664" t="str">
            <v>Miscellaneous expenses</v>
          </cell>
          <cell r="R664">
            <v>-0.01</v>
          </cell>
          <cell r="Z664">
            <v>0</v>
          </cell>
        </row>
        <row r="665">
          <cell r="M665" t="str">
            <v>Rates and taxes</v>
          </cell>
          <cell r="R665">
            <v>0.08</v>
          </cell>
          <cell r="Z665">
            <v>0</v>
          </cell>
        </row>
        <row r="666">
          <cell r="M666" t="str">
            <v>Rates and taxes</v>
          </cell>
          <cell r="R666">
            <v>0.28000000000000003</v>
          </cell>
          <cell r="Z666">
            <v>0</v>
          </cell>
        </row>
        <row r="667">
          <cell r="M667" t="str">
            <v>Rates and taxes</v>
          </cell>
          <cell r="R667">
            <v>0.03</v>
          </cell>
          <cell r="Z667">
            <v>0</v>
          </cell>
        </row>
        <row r="668">
          <cell r="M668" t="str">
            <v>Security charges</v>
          </cell>
          <cell r="R668">
            <v>15.89</v>
          </cell>
          <cell r="Z668">
            <v>0</v>
          </cell>
        </row>
        <row r="669">
          <cell r="M669" t="str">
            <v>Repairs and maintenance - others</v>
          </cell>
          <cell r="R669">
            <v>0.41</v>
          </cell>
          <cell r="Z669">
            <v>0</v>
          </cell>
        </row>
        <row r="670">
          <cell r="M670" t="str">
            <v>Interest payable</v>
          </cell>
          <cell r="R670">
            <v>-1.98</v>
          </cell>
          <cell r="Z670">
            <v>0</v>
          </cell>
        </row>
        <row r="671">
          <cell r="M671" t="str">
            <v>Miscellaneous expenses</v>
          </cell>
          <cell r="R671">
            <v>0.12</v>
          </cell>
          <cell r="Z671">
            <v>0</v>
          </cell>
        </row>
        <row r="672">
          <cell r="M672" t="str">
            <v>Miscellaneous expenses</v>
          </cell>
          <cell r="R672">
            <v>0.38</v>
          </cell>
          <cell r="Z672">
            <v>0</v>
          </cell>
        </row>
        <row r="673">
          <cell r="M673" t="str">
            <v xml:space="preserve">Retained earnings - CY adjustment </v>
          </cell>
          <cell r="R673">
            <v>808.77</v>
          </cell>
          <cell r="Z673">
            <v>0</v>
          </cell>
        </row>
        <row r="674">
          <cell r="M674" t="str">
            <v xml:space="preserve">Finished goods in stock </v>
          </cell>
          <cell r="R674">
            <v>72.91</v>
          </cell>
        </row>
        <row r="675">
          <cell r="M675" t="str">
            <v>Prepaid expense-Noncurrent</v>
          </cell>
          <cell r="R675">
            <v>0.12</v>
          </cell>
        </row>
        <row r="676">
          <cell r="M676" t="str">
            <v>Deferred government grant income</v>
          </cell>
          <cell r="R676">
            <v>-27.48</v>
          </cell>
        </row>
        <row r="677">
          <cell r="M677" t="str">
            <v>Interest Subvention receivable</v>
          </cell>
          <cell r="R677">
            <v>4.5199999999999996</v>
          </cell>
        </row>
        <row r="678">
          <cell r="M678" t="str">
            <v>Deferred government grant income Non current</v>
          </cell>
          <cell r="R678">
            <v>-613.66999999999996</v>
          </cell>
        </row>
        <row r="679">
          <cell r="M679" t="str">
            <v xml:space="preserve">Sale of goods </v>
          </cell>
          <cell r="R679">
            <v>-36.92</v>
          </cell>
        </row>
        <row r="680">
          <cell r="M680" t="str">
            <v>Other financial assets</v>
          </cell>
          <cell r="R680">
            <v>0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2">
          <cell r="A2" t="str">
            <v xml:space="preserve">Groupings </v>
          </cell>
          <cell r="C2" t="str">
            <v>Sum of  Dep. FY start</v>
          </cell>
        </row>
        <row r="3">
          <cell r="A3" t="str">
            <v>Land</v>
          </cell>
          <cell r="C3">
            <v>0</v>
          </cell>
        </row>
        <row r="4">
          <cell r="C4">
            <v>0</v>
          </cell>
        </row>
        <row r="5">
          <cell r="A5" t="str">
            <v>Building-Factory</v>
          </cell>
          <cell r="C5">
            <v>-19659952</v>
          </cell>
        </row>
        <row r="6">
          <cell r="A6" t="str">
            <v>Building-Others</v>
          </cell>
          <cell r="C6">
            <v>-486302</v>
          </cell>
        </row>
        <row r="7">
          <cell r="A7" t="str">
            <v>Temporary sheds</v>
          </cell>
          <cell r="C7">
            <v>-413191</v>
          </cell>
        </row>
        <row r="8">
          <cell r="A8" t="str">
            <v xml:space="preserve">Plant and machinery </v>
          </cell>
          <cell r="C8">
            <v>-130093200</v>
          </cell>
        </row>
        <row r="9">
          <cell r="A9" t="str">
            <v>Furniture and fixtures</v>
          </cell>
          <cell r="C9">
            <v>-118190</v>
          </cell>
        </row>
        <row r="10">
          <cell r="A10" t="str">
            <v>Office Equipment</v>
          </cell>
          <cell r="C10">
            <v>-42508</v>
          </cell>
        </row>
        <row r="11">
          <cell r="A11" t="str">
            <v>Computers</v>
          </cell>
          <cell r="C11">
            <v>-1117771</v>
          </cell>
        </row>
        <row r="12">
          <cell r="A12" t="str">
            <v>Vehicle</v>
          </cell>
          <cell r="C12">
            <v>-7948</v>
          </cell>
        </row>
        <row r="13">
          <cell r="A13" t="str">
            <v>Customer relationship</v>
          </cell>
          <cell r="C13">
            <v>0</v>
          </cell>
        </row>
        <row r="14">
          <cell r="A14" t="str">
            <v>Capital work-in progress</v>
          </cell>
          <cell r="C14">
            <v>0</v>
          </cell>
        </row>
        <row r="15">
          <cell r="C15">
            <v>-151939062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A9E54-1A67-4358-AE7A-E1FF1B3E1EC5}">
  <sheetPr>
    <pageSetUpPr fitToPage="1"/>
  </sheetPr>
  <dimension ref="A1:AH258"/>
  <sheetViews>
    <sheetView showGridLines="0" tabSelected="1" view="pageBreakPreview" zoomScaleNormal="100" zoomScaleSheetLayoutView="100" workbookViewId="0">
      <selection activeCell="A6" sqref="A6"/>
    </sheetView>
  </sheetViews>
  <sheetFormatPr defaultColWidth="9.21875" defaultRowHeight="12" x14ac:dyDescent="0.25"/>
  <cols>
    <col min="1" max="1" width="4.77734375" style="107" customWidth="1"/>
    <col min="2" max="2" width="25.44140625" style="2" customWidth="1"/>
    <col min="3" max="3" width="4.21875" style="3" hidden="1" customWidth="1"/>
    <col min="4" max="4" width="20.33203125" style="3" customWidth="1"/>
    <col min="5" max="5" width="13" style="3" hidden="1" customWidth="1"/>
    <col min="6" max="6" width="17.21875" style="3" customWidth="1"/>
    <col min="7" max="7" width="19.21875" style="3" bestFit="1" customWidth="1"/>
    <col min="8" max="8" width="15.5546875" style="3" customWidth="1"/>
    <col min="9" max="9" width="5.21875" style="2" bestFit="1" customWidth="1"/>
    <col min="10" max="10" width="13" style="3" bestFit="1" customWidth="1"/>
    <col min="11" max="11" width="13.21875" style="3" hidden="1" customWidth="1"/>
    <col min="12" max="12" width="13.21875" style="3" bestFit="1" customWidth="1"/>
    <col min="13" max="13" width="11.21875" style="3" customWidth="1"/>
    <col min="14" max="14" width="13.21875" style="3" bestFit="1" customWidth="1"/>
    <col min="15" max="15" width="2.44140625" style="2" customWidth="1"/>
    <col min="16" max="16" width="13.77734375" style="2" customWidth="1"/>
    <col min="17" max="17" width="14" style="2" customWidth="1"/>
    <col min="18" max="24" width="14" style="5" customWidth="1"/>
    <col min="25" max="25" width="14" style="5" hidden="1" customWidth="1"/>
    <col min="26" max="26" width="5.77734375" style="5" hidden="1" customWidth="1"/>
    <col min="27" max="27" width="4.44140625" style="5" hidden="1" customWidth="1"/>
    <col min="28" max="28" width="6.77734375" style="5" hidden="1" customWidth="1"/>
    <col min="29" max="29" width="5.44140625" style="5" hidden="1" customWidth="1"/>
    <col min="30" max="30" width="6.21875" style="5" hidden="1" customWidth="1"/>
    <col min="31" max="31" width="4.5546875" style="5" hidden="1" customWidth="1"/>
    <col min="32" max="32" width="1.44140625" style="5" hidden="1" customWidth="1"/>
    <col min="33" max="33" width="12.44140625" style="5" hidden="1" customWidth="1"/>
    <col min="34" max="34" width="0" style="5" hidden="1" customWidth="1"/>
    <col min="35" max="16384" width="9.21875" style="5"/>
  </cols>
  <sheetData>
    <row r="1" spans="1:29" x14ac:dyDescent="0.25">
      <c r="A1" s="1" t="s">
        <v>69</v>
      </c>
      <c r="P1" s="4">
        <f>'[1]TB 31-03-24'!AL3</f>
        <v>100000</v>
      </c>
    </row>
    <row r="2" spans="1:29" x14ac:dyDescent="0.25">
      <c r="A2" s="6" t="s">
        <v>70</v>
      </c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9" x14ac:dyDescent="0.25">
      <c r="A3" s="9" t="s">
        <v>71</v>
      </c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9" x14ac:dyDescent="0.25">
      <c r="A4" s="10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29" x14ac:dyDescent="0.25">
      <c r="A5" s="11">
        <v>6</v>
      </c>
      <c r="B5" s="12" t="s">
        <v>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Q5" s="13"/>
      <c r="R5" s="14"/>
      <c r="S5" s="14"/>
      <c r="T5" s="14"/>
      <c r="U5" s="14"/>
      <c r="V5" s="14"/>
      <c r="W5" s="14"/>
      <c r="X5" s="14"/>
      <c r="Y5" s="14"/>
    </row>
    <row r="6" spans="1:29" ht="14.4" x14ac:dyDescent="0.3">
      <c r="A6" s="11"/>
      <c r="B6" s="12"/>
      <c r="C6" s="8"/>
      <c r="D6" s="8"/>
      <c r="E6" s="8"/>
      <c r="F6" s="8"/>
      <c r="G6" s="8"/>
      <c r="H6" s="8"/>
      <c r="I6" s="15"/>
      <c r="J6" s="8"/>
      <c r="K6" s="8"/>
      <c r="L6" s="8"/>
      <c r="M6" s="8"/>
      <c r="N6" s="8"/>
      <c r="O6" s="8"/>
      <c r="Q6" s="13"/>
      <c r="R6" s="14"/>
      <c r="S6" s="14"/>
      <c r="T6" s="14"/>
      <c r="U6" s="14"/>
      <c r="V6" s="14"/>
      <c r="W6" s="14"/>
      <c r="X6" s="14"/>
      <c r="Y6" s="14"/>
    </row>
    <row r="7" spans="1:29" x14ac:dyDescent="0.25">
      <c r="A7" s="11"/>
      <c r="B7" s="7"/>
      <c r="C7" s="16" t="s">
        <v>1</v>
      </c>
      <c r="D7" s="135" t="s">
        <v>2</v>
      </c>
      <c r="E7" s="135"/>
      <c r="F7" s="135"/>
      <c r="G7" s="135"/>
      <c r="H7" s="135"/>
      <c r="I7" s="17"/>
      <c r="J7" s="133" t="s">
        <v>3</v>
      </c>
      <c r="K7" s="133"/>
      <c r="L7" s="133"/>
      <c r="M7" s="133"/>
      <c r="N7" s="133"/>
      <c r="O7" s="17"/>
      <c r="P7" s="133" t="s">
        <v>4</v>
      </c>
      <c r="Q7" s="133"/>
      <c r="R7" s="18" t="s">
        <v>4</v>
      </c>
      <c r="S7" s="18"/>
      <c r="T7" s="18"/>
      <c r="U7" s="18"/>
      <c r="V7" s="18"/>
      <c r="W7" s="18"/>
      <c r="X7" s="18"/>
      <c r="Y7" s="18"/>
    </row>
    <row r="8" spans="1:29" s="26" customFormat="1" ht="13.5" customHeight="1" x14ac:dyDescent="0.3">
      <c r="A8" s="19"/>
      <c r="B8" s="20"/>
      <c r="C8" s="21" t="s">
        <v>5</v>
      </c>
      <c r="D8" s="136" t="s">
        <v>6</v>
      </c>
      <c r="E8" s="127" t="s">
        <v>7</v>
      </c>
      <c r="F8" s="127" t="s">
        <v>8</v>
      </c>
      <c r="G8" s="127" t="s">
        <v>9</v>
      </c>
      <c r="H8" s="123" t="str">
        <f>"As at 
"&amp;'[1]Statement of P&amp;L'!E5</f>
        <v>As at 
31 March 2024</v>
      </c>
      <c r="I8" s="23"/>
      <c r="J8" s="123" t="str">
        <f>D8</f>
        <v>As at 
1 April 2023</v>
      </c>
      <c r="K8" s="123" t="str">
        <f>E8</f>
        <v>Acquisition through Business Combination 
Refer Note 34</v>
      </c>
      <c r="L8" s="123" t="s">
        <v>10</v>
      </c>
      <c r="M8" s="131" t="s">
        <v>9</v>
      </c>
      <c r="N8" s="123" t="str">
        <f>H8</f>
        <v>As at 
31 March 2024</v>
      </c>
      <c r="O8" s="23"/>
      <c r="P8" s="123" t="str">
        <f>N8</f>
        <v>As at 
31 March 2024</v>
      </c>
      <c r="Q8" s="123" t="str">
        <f>P27</f>
        <v>As at
31 March 2023</v>
      </c>
      <c r="R8" s="134" t="s">
        <v>11</v>
      </c>
      <c r="S8" s="25"/>
      <c r="T8" s="25"/>
      <c r="U8" s="25"/>
      <c r="V8" s="25"/>
      <c r="W8" s="25"/>
      <c r="X8" s="25"/>
      <c r="Y8" s="25"/>
    </row>
    <row r="9" spans="1:29" s="26" customFormat="1" ht="13.5" customHeight="1" x14ac:dyDescent="0.3">
      <c r="A9" s="19"/>
      <c r="B9" s="20"/>
      <c r="C9" s="27"/>
      <c r="D9" s="136"/>
      <c r="E9" s="127"/>
      <c r="F9" s="127"/>
      <c r="G9" s="127"/>
      <c r="H9" s="123"/>
      <c r="I9" s="23"/>
      <c r="J9" s="123"/>
      <c r="K9" s="123"/>
      <c r="L9" s="123"/>
      <c r="M9" s="131"/>
      <c r="N9" s="123"/>
      <c r="O9" s="23"/>
      <c r="P9" s="123"/>
      <c r="Q9" s="123"/>
      <c r="R9" s="134"/>
      <c r="S9" s="25"/>
      <c r="T9" s="25"/>
      <c r="U9" s="25"/>
      <c r="V9" s="25"/>
      <c r="W9" s="25"/>
      <c r="X9" s="25"/>
      <c r="Y9" s="25"/>
    </row>
    <row r="10" spans="1:29" s="26" customFormat="1" ht="4.05" customHeight="1" x14ac:dyDescent="0.3">
      <c r="A10" s="19"/>
      <c r="B10" s="20"/>
      <c r="C10" s="28"/>
      <c r="D10" s="137"/>
      <c r="E10" s="128"/>
      <c r="F10" s="128"/>
      <c r="G10" s="128"/>
      <c r="H10" s="126"/>
      <c r="I10" s="23"/>
      <c r="J10" s="126"/>
      <c r="K10" s="126"/>
      <c r="L10" s="126"/>
      <c r="M10" s="132"/>
      <c r="N10" s="126"/>
      <c r="O10" s="23"/>
      <c r="P10" s="126"/>
      <c r="Q10" s="126"/>
      <c r="R10" s="134"/>
      <c r="S10" s="25"/>
      <c r="T10" s="25"/>
      <c r="U10" s="25"/>
      <c r="V10" s="25"/>
      <c r="W10" s="25"/>
      <c r="X10" s="25"/>
      <c r="Y10" s="25"/>
    </row>
    <row r="11" spans="1:29" x14ac:dyDescent="0.25">
      <c r="A11" s="11"/>
      <c r="B11" s="29" t="s">
        <v>12</v>
      </c>
      <c r="D11" s="30"/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2"/>
      <c r="S11" s="33"/>
      <c r="T11" s="33"/>
      <c r="U11" s="33"/>
      <c r="V11" s="33"/>
      <c r="W11" s="33"/>
      <c r="X11" s="33"/>
      <c r="Y11" s="33"/>
      <c r="Z11" s="34" t="s">
        <v>13</v>
      </c>
    </row>
    <row r="12" spans="1:29" x14ac:dyDescent="0.25">
      <c r="A12" s="11"/>
      <c r="B12" s="35" t="s">
        <v>14</v>
      </c>
      <c r="C12" s="36"/>
      <c r="D12" s="37">
        <f>ROUND(H31,2)</f>
        <v>476.17</v>
      </c>
      <c r="E12" s="36">
        <v>0</v>
      </c>
      <c r="F12" s="31">
        <f>ROUND(0,2)</f>
        <v>0</v>
      </c>
      <c r="G12" s="31">
        <f t="shared" ref="G12:G18" si="0">ROUND(0,2)</f>
        <v>0</v>
      </c>
      <c r="H12" s="31">
        <f>SUM(D12:G12)</f>
        <v>476.17</v>
      </c>
      <c r="I12" s="31"/>
      <c r="J12" s="31">
        <f>ROUND(N31,2)</f>
        <v>0</v>
      </c>
      <c r="K12" s="36">
        <v>0</v>
      </c>
      <c r="L12" s="31">
        <f t="shared" ref="L12:M18" si="1">ROUND(0,2)</f>
        <v>0</v>
      </c>
      <c r="M12" s="31">
        <f t="shared" si="1"/>
        <v>0</v>
      </c>
      <c r="N12" s="31">
        <f>SUM(J12:M12)</f>
        <v>0</v>
      </c>
      <c r="O12" s="31"/>
      <c r="P12" s="31">
        <f t="shared" ref="P12:P19" si="2">H12-N12</f>
        <v>476.17</v>
      </c>
      <c r="Q12" s="31">
        <f>P31</f>
        <v>476.17</v>
      </c>
      <c r="R12" s="38">
        <v>5405</v>
      </c>
      <c r="S12" s="39">
        <f t="shared" ref="S12:S19" si="3">P12-R12</f>
        <v>-4928.83</v>
      </c>
      <c r="T12" s="39"/>
      <c r="U12" s="39"/>
      <c r="V12" s="39"/>
      <c r="W12" s="39"/>
      <c r="X12" s="39"/>
      <c r="Y12" s="39"/>
      <c r="Z12" s="40"/>
      <c r="AA12" s="40">
        <f t="shared" ref="AA12:AA18" si="4">D12+F12-H12</f>
        <v>0</v>
      </c>
    </row>
    <row r="13" spans="1:29" x14ac:dyDescent="0.25">
      <c r="A13" s="11"/>
      <c r="B13" s="41" t="s">
        <v>15</v>
      </c>
      <c r="C13" s="36"/>
      <c r="D13" s="37">
        <f>ROUND(H32,2)</f>
        <v>482.03</v>
      </c>
      <c r="E13" s="36">
        <v>0</v>
      </c>
      <c r="F13" s="31">
        <f t="shared" ref="F13:F14" si="5">ROUND(0,2)</f>
        <v>0</v>
      </c>
      <c r="G13" s="31">
        <f t="shared" si="0"/>
        <v>0</v>
      </c>
      <c r="H13" s="31">
        <f t="shared" ref="H13:H18" si="6">SUM(D13:G13)</f>
        <v>482.03</v>
      </c>
      <c r="I13" s="31"/>
      <c r="J13" s="31">
        <f t="shared" ref="J13:J18" si="7">ROUND(N32,2)</f>
        <v>17.48</v>
      </c>
      <c r="K13" s="31">
        <v>0</v>
      </c>
      <c r="L13" s="31">
        <f>ROUND(16.07,2)</f>
        <v>16.07</v>
      </c>
      <c r="M13" s="31">
        <f t="shared" si="1"/>
        <v>0</v>
      </c>
      <c r="N13" s="31">
        <f t="shared" ref="N13:N18" si="8">SUM(J13:M13)</f>
        <v>33.549999999999997</v>
      </c>
      <c r="O13" s="31"/>
      <c r="P13" s="31">
        <f t="shared" si="2"/>
        <v>448.47999999999996</v>
      </c>
      <c r="Q13" s="31">
        <f t="shared" ref="Q13:Q18" si="9">P32</f>
        <v>464.54999999999995</v>
      </c>
      <c r="R13" s="38">
        <v>10854</v>
      </c>
      <c r="S13" s="39">
        <f t="shared" si="3"/>
        <v>-10405.52</v>
      </c>
      <c r="T13" s="39"/>
      <c r="U13" s="39"/>
      <c r="V13" s="39"/>
      <c r="W13" s="39"/>
      <c r="X13" s="39"/>
      <c r="Y13" s="39"/>
      <c r="Z13" s="40"/>
      <c r="AA13" s="40">
        <f t="shared" si="4"/>
        <v>0</v>
      </c>
    </row>
    <row r="14" spans="1:29" x14ac:dyDescent="0.25">
      <c r="A14" s="11"/>
      <c r="B14" s="41" t="s">
        <v>16</v>
      </c>
      <c r="C14" s="36"/>
      <c r="D14" s="37">
        <f t="shared" ref="D14:D18" si="10">ROUND(H33,2)</f>
        <v>33.200000000000003</v>
      </c>
      <c r="E14" s="36">
        <v>0</v>
      </c>
      <c r="F14" s="31">
        <f t="shared" si="5"/>
        <v>0</v>
      </c>
      <c r="G14" s="31">
        <f t="shared" si="0"/>
        <v>0</v>
      </c>
      <c r="H14" s="31">
        <f t="shared" si="6"/>
        <v>33.200000000000003</v>
      </c>
      <c r="I14" s="31"/>
      <c r="J14" s="31">
        <f t="shared" si="7"/>
        <v>12.04</v>
      </c>
      <c r="K14" s="31">
        <v>0</v>
      </c>
      <c r="L14" s="31">
        <f>ROUND(11.07,2)</f>
        <v>11.07</v>
      </c>
      <c r="M14" s="31">
        <f t="shared" si="1"/>
        <v>0</v>
      </c>
      <c r="N14" s="31">
        <f t="shared" si="8"/>
        <v>23.11</v>
      </c>
      <c r="O14" s="31"/>
      <c r="P14" s="31">
        <f t="shared" si="2"/>
        <v>10.090000000000003</v>
      </c>
      <c r="Q14" s="31">
        <f t="shared" si="9"/>
        <v>21.160000000000004</v>
      </c>
      <c r="R14" s="42">
        <v>282</v>
      </c>
      <c r="S14" s="39">
        <f t="shared" si="3"/>
        <v>-271.90999999999997</v>
      </c>
      <c r="T14" s="39"/>
      <c r="U14" s="39"/>
      <c r="V14" s="39"/>
      <c r="W14" s="39"/>
      <c r="X14" s="39"/>
      <c r="Y14" s="39"/>
      <c r="Z14" s="40"/>
      <c r="AA14" s="40">
        <f t="shared" si="4"/>
        <v>0</v>
      </c>
    </row>
    <row r="15" spans="1:29" x14ac:dyDescent="0.25">
      <c r="A15" s="11"/>
      <c r="B15" s="41" t="s">
        <v>17</v>
      </c>
      <c r="C15" s="36"/>
      <c r="D15" s="37">
        <f t="shared" si="10"/>
        <v>3867.7</v>
      </c>
      <c r="E15" s="36">
        <v>0</v>
      </c>
      <c r="F15" s="37">
        <f>ROUND(7.25,2)</f>
        <v>7.25</v>
      </c>
      <c r="G15" s="31">
        <f t="shared" si="0"/>
        <v>0</v>
      </c>
      <c r="H15" s="31">
        <f t="shared" si="6"/>
        <v>3874.95</v>
      </c>
      <c r="I15" s="31"/>
      <c r="J15" s="31">
        <f t="shared" si="7"/>
        <v>165.52</v>
      </c>
      <c r="K15" s="31">
        <v>0</v>
      </c>
      <c r="L15" s="31">
        <f>ROUND(154.77,2)</f>
        <v>154.77000000000001</v>
      </c>
      <c r="M15" s="31">
        <f t="shared" si="1"/>
        <v>0</v>
      </c>
      <c r="N15" s="31">
        <f t="shared" si="8"/>
        <v>320.29000000000002</v>
      </c>
      <c r="O15" s="31"/>
      <c r="P15" s="31">
        <f t="shared" si="2"/>
        <v>3554.66</v>
      </c>
      <c r="Q15" s="31">
        <f t="shared" si="9"/>
        <v>3702.1800000000003</v>
      </c>
      <c r="R15" s="38">
        <v>96645</v>
      </c>
      <c r="S15" s="39">
        <f t="shared" si="3"/>
        <v>-93090.34</v>
      </c>
      <c r="T15" s="39"/>
      <c r="U15" s="39"/>
      <c r="V15" s="39"/>
      <c r="W15" s="39"/>
      <c r="X15" s="39"/>
      <c r="Y15" s="39"/>
      <c r="Z15" s="40"/>
      <c r="AA15" s="40">
        <f t="shared" si="4"/>
        <v>0</v>
      </c>
    </row>
    <row r="16" spans="1:29" x14ac:dyDescent="0.25">
      <c r="A16" s="11"/>
      <c r="B16" s="41" t="s">
        <v>18</v>
      </c>
      <c r="C16" s="43"/>
      <c r="D16" s="37">
        <f t="shared" si="10"/>
        <v>3.11</v>
      </c>
      <c r="E16" s="36">
        <v>0</v>
      </c>
      <c r="F16" s="37">
        <f>ROUND(0.2,2)</f>
        <v>0.2</v>
      </c>
      <c r="G16" s="31">
        <f t="shared" si="0"/>
        <v>0</v>
      </c>
      <c r="H16" s="31">
        <f t="shared" si="6"/>
        <v>3.31</v>
      </c>
      <c r="I16" s="31"/>
      <c r="J16" s="31">
        <f t="shared" si="7"/>
        <v>0.39</v>
      </c>
      <c r="K16" s="31">
        <v>0</v>
      </c>
      <c r="L16" s="31">
        <f>ROUND(0.33,2)</f>
        <v>0.33</v>
      </c>
      <c r="M16" s="31">
        <f t="shared" si="1"/>
        <v>0</v>
      </c>
      <c r="N16" s="31">
        <f t="shared" si="8"/>
        <v>0.72</v>
      </c>
      <c r="O16" s="44"/>
      <c r="P16" s="31">
        <f t="shared" si="2"/>
        <v>2.59</v>
      </c>
      <c r="Q16" s="31">
        <f t="shared" si="9"/>
        <v>2.7199999999999998</v>
      </c>
      <c r="R16" s="42">
        <v>11</v>
      </c>
      <c r="S16" s="45">
        <f t="shared" si="3"/>
        <v>-8.41</v>
      </c>
      <c r="T16" s="45"/>
      <c r="U16" s="45"/>
      <c r="V16" s="45"/>
      <c r="W16" s="45"/>
      <c r="X16" s="45"/>
      <c r="Y16" s="45"/>
      <c r="Z16" s="40"/>
      <c r="AA16" s="40">
        <f t="shared" si="4"/>
        <v>0</v>
      </c>
      <c r="AC16" s="40">
        <f>L20+'[1]Note 7'!K12</f>
        <v>187.55000000000004</v>
      </c>
    </row>
    <row r="17" spans="1:34" x14ac:dyDescent="0.25">
      <c r="A17" s="11"/>
      <c r="B17" s="41" t="s">
        <v>19</v>
      </c>
      <c r="C17" s="36"/>
      <c r="D17" s="37">
        <f t="shared" si="10"/>
        <v>21.21</v>
      </c>
      <c r="E17" s="36">
        <v>0</v>
      </c>
      <c r="F17" s="37">
        <f>ROUND(4.3,2)</f>
        <v>4.3</v>
      </c>
      <c r="G17" s="31">
        <f t="shared" si="0"/>
        <v>0</v>
      </c>
      <c r="H17" s="31">
        <f t="shared" si="6"/>
        <v>25.51</v>
      </c>
      <c r="I17" s="31"/>
      <c r="J17" s="31">
        <f t="shared" si="7"/>
        <v>2.77</v>
      </c>
      <c r="K17" s="31">
        <v>0</v>
      </c>
      <c r="L17" s="31">
        <f>ROUND(4.39,2)</f>
        <v>4.3899999999999997</v>
      </c>
      <c r="M17" s="31">
        <f t="shared" si="1"/>
        <v>0</v>
      </c>
      <c r="N17" s="31">
        <f t="shared" si="8"/>
        <v>7.16</v>
      </c>
      <c r="O17" s="31"/>
      <c r="P17" s="31">
        <f t="shared" si="2"/>
        <v>18.350000000000001</v>
      </c>
      <c r="Q17" s="31">
        <f t="shared" si="9"/>
        <v>18.440000000000001</v>
      </c>
      <c r="R17" s="42">
        <v>2</v>
      </c>
      <c r="S17" s="39">
        <f t="shared" si="3"/>
        <v>16.350000000000001</v>
      </c>
      <c r="T17" s="39"/>
      <c r="U17" s="39"/>
      <c r="V17" s="39"/>
      <c r="W17" s="39"/>
      <c r="X17" s="39"/>
      <c r="Y17" s="39"/>
      <c r="Z17" s="40"/>
      <c r="AA17" s="40">
        <f t="shared" si="4"/>
        <v>0</v>
      </c>
    </row>
    <row r="18" spans="1:34" x14ac:dyDescent="0.25">
      <c r="A18" s="11"/>
      <c r="B18" s="41" t="s">
        <v>20</v>
      </c>
      <c r="C18" s="36"/>
      <c r="D18" s="37">
        <f t="shared" si="10"/>
        <v>2.63</v>
      </c>
      <c r="E18" s="36">
        <v>0</v>
      </c>
      <c r="F18" s="36">
        <f>ROUND(0.63,2)</f>
        <v>0.63</v>
      </c>
      <c r="G18" s="31">
        <f t="shared" si="0"/>
        <v>0</v>
      </c>
      <c r="H18" s="31">
        <f t="shared" si="6"/>
        <v>3.26</v>
      </c>
      <c r="I18" s="31"/>
      <c r="J18" s="31">
        <f t="shared" si="7"/>
        <v>0.98</v>
      </c>
      <c r="K18" s="31">
        <v>0</v>
      </c>
      <c r="L18" s="31">
        <f>ROUND(0.87,2)</f>
        <v>0.87</v>
      </c>
      <c r="M18" s="31">
        <f t="shared" si="1"/>
        <v>0</v>
      </c>
      <c r="N18" s="31">
        <f t="shared" si="8"/>
        <v>1.85</v>
      </c>
      <c r="O18" s="31"/>
      <c r="P18" s="31">
        <f t="shared" si="2"/>
        <v>1.4099999999999997</v>
      </c>
      <c r="Q18" s="31">
        <f t="shared" si="9"/>
        <v>1.6500000000000004</v>
      </c>
      <c r="R18" s="42">
        <v>152</v>
      </c>
      <c r="S18" s="39">
        <f t="shared" si="3"/>
        <v>-150.59</v>
      </c>
      <c r="T18" s="39"/>
      <c r="U18" s="39"/>
      <c r="V18" s="39"/>
      <c r="W18" s="39"/>
      <c r="X18" s="39"/>
      <c r="Y18" s="39"/>
      <c r="Z18" s="40"/>
      <c r="AA18" s="40">
        <f t="shared" si="4"/>
        <v>0</v>
      </c>
      <c r="AC18" s="2">
        <f>'[1]TB 31-03-24'!$P$328</f>
        <v>0</v>
      </c>
    </row>
    <row r="19" spans="1:34" hidden="1" x14ac:dyDescent="0.25">
      <c r="A19" s="11"/>
      <c r="B19" s="41" t="s">
        <v>21</v>
      </c>
      <c r="C19" s="36"/>
      <c r="D19" s="31" t="e">
        <f>#REF!</f>
        <v>#REF!</v>
      </c>
      <c r="E19" s="36">
        <v>0</v>
      </c>
      <c r="F19" s="46"/>
      <c r="G19" s="31">
        <v>0</v>
      </c>
      <c r="H19" s="31"/>
      <c r="I19" s="31"/>
      <c r="J19" s="31"/>
      <c r="K19" s="31">
        <v>0</v>
      </c>
      <c r="L19" s="31"/>
      <c r="M19" s="31">
        <v>0</v>
      </c>
      <c r="N19" s="31">
        <f t="shared" ref="N19" si="11">SUM(J19:M19)</f>
        <v>0</v>
      </c>
      <c r="O19" s="31"/>
      <c r="P19" s="31">
        <f t="shared" si="2"/>
        <v>0</v>
      </c>
      <c r="Q19" s="31" t="e">
        <f>D19-J19</f>
        <v>#REF!</v>
      </c>
      <c r="R19" s="42">
        <v>2</v>
      </c>
      <c r="S19" s="39">
        <f t="shared" si="3"/>
        <v>-2</v>
      </c>
      <c r="T19" s="39"/>
      <c r="U19" s="39"/>
      <c r="V19" s="39"/>
      <c r="W19" s="39"/>
      <c r="X19" s="39"/>
      <c r="Y19" s="39"/>
      <c r="Z19" s="40"/>
      <c r="AA19" s="40" t="e">
        <f>D19+F19-H19</f>
        <v>#REF!</v>
      </c>
    </row>
    <row r="20" spans="1:34" ht="12.6" thickBot="1" x14ac:dyDescent="0.3">
      <c r="A20" s="11"/>
      <c r="B20" s="12" t="s">
        <v>22</v>
      </c>
      <c r="C20" s="47"/>
      <c r="D20" s="48">
        <f>SUM(D12:D18)</f>
        <v>4886.05</v>
      </c>
      <c r="E20" s="48">
        <f>SUM(E12:E19)</f>
        <v>0</v>
      </c>
      <c r="F20" s="48">
        <f>SUM(F12:F19)</f>
        <v>12.38</v>
      </c>
      <c r="G20" s="48">
        <f>SUM(G12:G19)</f>
        <v>0</v>
      </c>
      <c r="H20" s="48">
        <f>SUM(H12:H18)</f>
        <v>4898.4300000000012</v>
      </c>
      <c r="I20" s="49"/>
      <c r="J20" s="48">
        <f>SUM(J12:J19)</f>
        <v>199.18</v>
      </c>
      <c r="K20" s="48">
        <f>SUM(K12:K19)</f>
        <v>0</v>
      </c>
      <c r="L20" s="48">
        <f>SUM(L12:L19)</f>
        <v>187.50000000000003</v>
      </c>
      <c r="M20" s="48">
        <f>SUM(M12:M19)</f>
        <v>0</v>
      </c>
      <c r="N20" s="48">
        <f>SUM(N12:N19)</f>
        <v>386.68000000000012</v>
      </c>
      <c r="O20" s="48"/>
      <c r="P20" s="48">
        <f>SUM(P12:P19)</f>
        <v>4511.75</v>
      </c>
      <c r="Q20" s="48">
        <f>SUM(Q12:Q18)</f>
        <v>4686.87</v>
      </c>
      <c r="R20" s="50">
        <f>SUM(R12:R19)</f>
        <v>113353</v>
      </c>
      <c r="S20" s="51">
        <f>SUM(S12:S19)</f>
        <v>-108841.24999999999</v>
      </c>
      <c r="T20" s="51"/>
      <c r="U20" s="51"/>
      <c r="V20" s="51"/>
      <c r="W20" s="51"/>
      <c r="X20" s="51"/>
      <c r="Y20" s="51"/>
      <c r="Z20" s="40">
        <f>SUM(P12:P19)-AG20</f>
        <v>4511.75</v>
      </c>
      <c r="AA20" s="40">
        <f>D20+F20-H20</f>
        <v>0</v>
      </c>
      <c r="AC20" s="40" t="s">
        <v>13</v>
      </c>
      <c r="AG20" s="52">
        <f>SUMIFS('[1]TB 31-03-24'!$R:$R,'[1]TB 31-03-24'!$L:$L,Z11)</f>
        <v>0</v>
      </c>
      <c r="AH20" s="40">
        <f>P20-AG20</f>
        <v>4511.75</v>
      </c>
    </row>
    <row r="21" spans="1:34" ht="12.6" thickTop="1" x14ac:dyDescent="0.25">
      <c r="A21" s="11"/>
      <c r="B21" s="12"/>
      <c r="C21" s="31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53"/>
      <c r="S21" s="51"/>
      <c r="T21" s="51"/>
      <c r="U21" s="51"/>
      <c r="V21" s="51"/>
      <c r="W21" s="51"/>
      <c r="X21" s="51"/>
      <c r="Y21" s="51"/>
    </row>
    <row r="22" spans="1:34" x14ac:dyDescent="0.25">
      <c r="A22" s="11"/>
      <c r="B22" s="12"/>
      <c r="C22" s="31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53"/>
      <c r="S22" s="51"/>
      <c r="T22" s="51"/>
      <c r="U22" s="51"/>
      <c r="V22" s="51"/>
      <c r="W22" s="51"/>
      <c r="X22" s="51"/>
      <c r="Y22" s="51"/>
    </row>
    <row r="23" spans="1:34" x14ac:dyDescent="0.25">
      <c r="A23" s="11"/>
      <c r="B23" s="54" t="s">
        <v>23</v>
      </c>
      <c r="C23" s="8"/>
      <c r="D23" s="8">
        <f>H41</f>
        <v>0</v>
      </c>
      <c r="E23" s="55">
        <v>0</v>
      </c>
      <c r="F23" s="55">
        <f>H23-D23</f>
        <v>0</v>
      </c>
      <c r="G23" s="8">
        <v>0</v>
      </c>
      <c r="H23" s="55">
        <f>+SUMIF('[1]TB 31-03-24'!M:M,'Note 6'!B41,'[1]TB 31-03-24'!R:R)</f>
        <v>0</v>
      </c>
      <c r="I23" s="8"/>
      <c r="J23" s="8">
        <v>0</v>
      </c>
      <c r="K23" s="55">
        <v>0</v>
      </c>
      <c r="L23" s="55">
        <v>0</v>
      </c>
      <c r="M23" s="8">
        <v>0</v>
      </c>
      <c r="N23" s="55">
        <v>0</v>
      </c>
      <c r="O23" s="8"/>
      <c r="P23" s="49">
        <f>H23-N23</f>
        <v>0</v>
      </c>
      <c r="Q23" s="49">
        <f>P41</f>
        <v>0</v>
      </c>
      <c r="R23" s="56">
        <v>5242</v>
      </c>
      <c r="S23" s="45">
        <f>P23-R23</f>
        <v>-5242</v>
      </c>
      <c r="T23" s="51"/>
      <c r="U23" s="51"/>
      <c r="V23" s="51"/>
      <c r="W23" s="51"/>
      <c r="X23" s="51"/>
      <c r="Y23" s="51"/>
      <c r="Z23" s="2">
        <f>P23-SUM(D23:F23)</f>
        <v>0</v>
      </c>
      <c r="AC23" s="57" t="s">
        <v>24</v>
      </c>
    </row>
    <row r="24" spans="1:34" x14ac:dyDescent="0.25">
      <c r="A24" s="11"/>
      <c r="B24" s="54"/>
      <c r="C24" s="8"/>
      <c r="D24" s="8"/>
      <c r="E24" s="55"/>
      <c r="F24" s="55"/>
      <c r="G24" s="8"/>
      <c r="H24" s="55"/>
      <c r="I24" s="8"/>
      <c r="J24" s="8"/>
      <c r="K24" s="55"/>
      <c r="L24" s="55"/>
      <c r="M24" s="8"/>
      <c r="N24" s="55"/>
      <c r="O24" s="8"/>
      <c r="P24" s="49"/>
      <c r="Q24" s="49"/>
      <c r="R24" s="56"/>
      <c r="S24" s="45"/>
      <c r="T24" s="51"/>
      <c r="U24" s="51"/>
      <c r="V24" s="51"/>
      <c r="W24" s="51"/>
      <c r="X24" s="51"/>
      <c r="Y24" s="51"/>
      <c r="Z24" s="2"/>
      <c r="AC24" s="58"/>
    </row>
    <row r="25" spans="1:34" x14ac:dyDescent="0.25">
      <c r="A25" s="11"/>
      <c r="B25" s="12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Q25" s="13"/>
      <c r="R25" s="13">
        <f>P20-P12</f>
        <v>4035.58</v>
      </c>
      <c r="S25" s="14"/>
      <c r="T25" s="14"/>
      <c r="U25" s="14"/>
      <c r="V25" s="14"/>
      <c r="W25" s="14"/>
      <c r="X25" s="14"/>
      <c r="Y25" s="14"/>
    </row>
    <row r="26" spans="1:34" ht="11.55" customHeight="1" x14ac:dyDescent="0.25">
      <c r="A26" s="59"/>
      <c r="B26" s="7"/>
      <c r="C26" s="16" t="s">
        <v>1</v>
      </c>
      <c r="D26" s="133" t="s">
        <v>2</v>
      </c>
      <c r="E26" s="133"/>
      <c r="F26" s="133"/>
      <c r="G26" s="133"/>
      <c r="H26" s="133"/>
      <c r="I26" s="17"/>
      <c r="J26" s="133" t="str">
        <f>J7</f>
        <v>Accumulated Depreciation</v>
      </c>
      <c r="K26" s="133"/>
      <c r="L26" s="133"/>
      <c r="M26" s="133"/>
      <c r="N26" s="133"/>
      <c r="O26" s="17"/>
      <c r="P26" s="133" t="s">
        <v>4</v>
      </c>
      <c r="Q26" s="133"/>
      <c r="R26" s="18"/>
      <c r="S26" s="18"/>
      <c r="T26" s="18"/>
      <c r="U26" s="18"/>
      <c r="V26" s="18"/>
      <c r="W26" s="18"/>
      <c r="X26" s="18"/>
      <c r="Y26" s="18"/>
    </row>
    <row r="27" spans="1:34" ht="12" customHeight="1" x14ac:dyDescent="0.25">
      <c r="A27" s="59"/>
      <c r="B27" s="7"/>
      <c r="C27" s="21" t="s">
        <v>5</v>
      </c>
      <c r="D27" s="129" t="s">
        <v>25</v>
      </c>
      <c r="E27" s="123" t="s">
        <v>7</v>
      </c>
      <c r="F27" s="123" t="s">
        <v>8</v>
      </c>
      <c r="G27" s="123" t="s">
        <v>9</v>
      </c>
      <c r="H27" s="123" t="s">
        <v>26</v>
      </c>
      <c r="I27" s="17"/>
      <c r="J27" s="123" t="str">
        <f>D27</f>
        <v>As at 
1 April 2022</v>
      </c>
      <c r="K27" s="123" t="str">
        <f>E27</f>
        <v>Acquisition through Business Combination 
Refer Note 34</v>
      </c>
      <c r="L27" s="123" t="s">
        <v>10</v>
      </c>
      <c r="M27" s="131" t="s">
        <v>9</v>
      </c>
      <c r="N27" s="123" t="str">
        <f>H27</f>
        <v>As at
31 March 2023</v>
      </c>
      <c r="O27" s="17"/>
      <c r="P27" s="123" t="str">
        <f>N27</f>
        <v>As at
31 March 2023</v>
      </c>
      <c r="Q27" s="123" t="s">
        <v>27</v>
      </c>
      <c r="R27" s="25"/>
      <c r="S27" s="25"/>
      <c r="T27" s="25"/>
      <c r="U27" s="25"/>
      <c r="V27" s="25"/>
      <c r="W27" s="25"/>
      <c r="X27" s="25"/>
      <c r="Y27" s="25"/>
    </row>
    <row r="28" spans="1:34" x14ac:dyDescent="0.25">
      <c r="A28" s="61"/>
      <c r="B28" s="7"/>
      <c r="C28" s="27"/>
      <c r="D28" s="129"/>
      <c r="E28" s="123"/>
      <c r="F28" s="123"/>
      <c r="G28" s="123"/>
      <c r="H28" s="123"/>
      <c r="I28" s="17"/>
      <c r="J28" s="123"/>
      <c r="K28" s="123"/>
      <c r="L28" s="123"/>
      <c r="M28" s="131"/>
      <c r="N28" s="123"/>
      <c r="O28" s="17"/>
      <c r="P28" s="123"/>
      <c r="Q28" s="123"/>
      <c r="R28" s="25"/>
      <c r="S28" s="25"/>
      <c r="T28" s="25"/>
      <c r="U28" s="25"/>
      <c r="V28" s="25"/>
      <c r="W28" s="25"/>
      <c r="X28" s="25"/>
      <c r="Y28" s="25"/>
    </row>
    <row r="29" spans="1:34" ht="10.95" customHeight="1" x14ac:dyDescent="0.25">
      <c r="A29" s="59"/>
      <c r="B29" s="7"/>
      <c r="C29" s="28"/>
      <c r="D29" s="130"/>
      <c r="E29" s="126"/>
      <c r="F29" s="126"/>
      <c r="G29" s="126"/>
      <c r="H29" s="126"/>
      <c r="I29" s="17"/>
      <c r="J29" s="126"/>
      <c r="K29" s="126"/>
      <c r="L29" s="126"/>
      <c r="M29" s="132"/>
      <c r="N29" s="126"/>
      <c r="O29" s="17"/>
      <c r="P29" s="126"/>
      <c r="Q29" s="126"/>
      <c r="R29" s="25"/>
      <c r="S29" s="25"/>
      <c r="T29" s="25"/>
      <c r="U29" s="25"/>
      <c r="V29" s="25"/>
      <c r="W29" s="25"/>
      <c r="X29" s="25"/>
      <c r="Y29" s="25"/>
    </row>
    <row r="30" spans="1:34" x14ac:dyDescent="0.25">
      <c r="A30" s="59"/>
      <c r="B30" s="29" t="s">
        <v>12</v>
      </c>
      <c r="D30" s="30"/>
      <c r="E30" s="30"/>
      <c r="F30" s="31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3"/>
      <c r="S30" s="33"/>
      <c r="T30" s="33"/>
      <c r="U30" s="33"/>
      <c r="V30" s="33"/>
      <c r="W30" s="33"/>
      <c r="X30" s="33"/>
      <c r="Y30" s="33"/>
    </row>
    <row r="31" spans="1:34" x14ac:dyDescent="0.25">
      <c r="A31" s="59" t="s">
        <v>14</v>
      </c>
      <c r="B31" s="35" t="s">
        <v>14</v>
      </c>
      <c r="D31" s="37">
        <f>ROUND(476.17,2)</f>
        <v>476.17</v>
      </c>
      <c r="F31" s="31">
        <f>ROUND(0,2)</f>
        <v>0</v>
      </c>
      <c r="G31" s="31">
        <f t="shared" ref="G31:G35" si="12">ROUND(0,2)</f>
        <v>0</v>
      </c>
      <c r="H31" s="31">
        <f t="shared" ref="H31:H37" si="13">SUM(D31:G31)</f>
        <v>476.17</v>
      </c>
      <c r="I31" s="31"/>
      <c r="J31" s="31">
        <f t="shared" ref="J31:M37" si="14">ROUND(0,2)</f>
        <v>0</v>
      </c>
      <c r="K31" s="31">
        <f t="shared" si="14"/>
        <v>0</v>
      </c>
      <c r="L31" s="31">
        <f t="shared" si="14"/>
        <v>0</v>
      </c>
      <c r="M31" s="31">
        <f t="shared" si="14"/>
        <v>0</v>
      </c>
      <c r="N31" s="31">
        <f>SUM(J31:M31)</f>
        <v>0</v>
      </c>
      <c r="O31" s="31"/>
      <c r="P31" s="31">
        <f t="shared" ref="P31:P37" si="15">H31-N31</f>
        <v>476.17</v>
      </c>
      <c r="Q31" s="31">
        <f t="shared" ref="Q31:Q37" si="16">D31-J31</f>
        <v>476.17</v>
      </c>
      <c r="R31" s="39"/>
      <c r="S31" s="39"/>
      <c r="T31" s="39"/>
      <c r="U31" s="39"/>
      <c r="V31" s="39"/>
      <c r="W31" s="39"/>
      <c r="X31" s="39"/>
      <c r="Y31" s="39"/>
      <c r="Z31" s="40">
        <f>-SUMIFS('[1]FAR-April-Sept '!C:C,'[1]FAR-April-Sept '!A:A,'Note 6'!B31)/$P$1</f>
        <v>0</v>
      </c>
      <c r="AA31" s="36">
        <f>L31+Z31</f>
        <v>0</v>
      </c>
    </row>
    <row r="32" spans="1:34" ht="13.2" x14ac:dyDescent="0.25">
      <c r="A32" s="62" t="s">
        <v>15</v>
      </c>
      <c r="B32" s="41" t="s">
        <v>15</v>
      </c>
      <c r="D32" s="37">
        <f>ROUND(482.03,2)</f>
        <v>482.03</v>
      </c>
      <c r="F32" s="31">
        <f t="shared" ref="F32:F33" si="17">ROUND(0,2)</f>
        <v>0</v>
      </c>
      <c r="G32" s="31">
        <f t="shared" si="12"/>
        <v>0</v>
      </c>
      <c r="H32" s="31">
        <f t="shared" si="13"/>
        <v>482.03</v>
      </c>
      <c r="I32" s="31"/>
      <c r="J32" s="31">
        <f>ROUND(1.41,2)</f>
        <v>1.41</v>
      </c>
      <c r="K32" s="31">
        <v>0</v>
      </c>
      <c r="L32" s="31">
        <f>ROUND(16.07,2)</f>
        <v>16.07</v>
      </c>
      <c r="M32" s="31">
        <f t="shared" si="14"/>
        <v>0</v>
      </c>
      <c r="N32" s="31">
        <f t="shared" ref="N32:N37" si="18">SUM(J32:M32)</f>
        <v>17.48</v>
      </c>
      <c r="O32" s="31"/>
      <c r="P32" s="31">
        <f t="shared" si="15"/>
        <v>464.54999999999995</v>
      </c>
      <c r="Q32" s="31">
        <f t="shared" si="16"/>
        <v>480.61999999999995</v>
      </c>
      <c r="R32" s="39"/>
      <c r="S32" s="39"/>
      <c r="T32" s="39"/>
      <c r="U32" s="39"/>
      <c r="V32" s="39"/>
      <c r="W32" s="39"/>
      <c r="X32" s="39"/>
      <c r="Y32" s="39"/>
      <c r="Z32" s="40">
        <f>-SUMIFS('[1]FAR-April-Sept '!C:C,'[1]FAR-April-Sept '!A:A,'Note 6'!B32)/$P$1</f>
        <v>196.59952000000001</v>
      </c>
      <c r="AA32" s="36">
        <f t="shared" ref="AA32:AA37" si="19">N32-Z32</f>
        <v>-179.11952000000002</v>
      </c>
    </row>
    <row r="33" spans="1:29" ht="13.2" x14ac:dyDescent="0.25">
      <c r="A33" s="62" t="s">
        <v>16</v>
      </c>
      <c r="B33" s="41" t="s">
        <v>16</v>
      </c>
      <c r="D33" s="37">
        <f>ROUND(33.2,2)</f>
        <v>33.200000000000003</v>
      </c>
      <c r="E33" s="36"/>
      <c r="F33" s="31">
        <f t="shared" si="17"/>
        <v>0</v>
      </c>
      <c r="G33" s="31">
        <f t="shared" si="12"/>
        <v>0</v>
      </c>
      <c r="H33" s="31">
        <f t="shared" si="13"/>
        <v>33.200000000000003</v>
      </c>
      <c r="I33" s="31"/>
      <c r="J33" s="31">
        <f>ROUND(0.97,2)</f>
        <v>0.97</v>
      </c>
      <c r="K33" s="31">
        <v>0</v>
      </c>
      <c r="L33" s="31">
        <f>ROUND(11.07,2)</f>
        <v>11.07</v>
      </c>
      <c r="M33" s="31">
        <f t="shared" si="14"/>
        <v>0</v>
      </c>
      <c r="N33" s="31">
        <f t="shared" si="18"/>
        <v>12.040000000000001</v>
      </c>
      <c r="O33" s="31"/>
      <c r="P33" s="31">
        <f t="shared" si="15"/>
        <v>21.160000000000004</v>
      </c>
      <c r="Q33" s="31">
        <f t="shared" si="16"/>
        <v>32.230000000000004</v>
      </c>
      <c r="R33" s="39"/>
      <c r="S33" s="39"/>
      <c r="T33" s="39"/>
      <c r="U33" s="39"/>
      <c r="V33" s="39"/>
      <c r="W33" s="39"/>
      <c r="X33" s="39"/>
      <c r="Y33" s="39"/>
      <c r="Z33" s="40">
        <f>-SUMIFS('[1]FAR-April-Sept '!C:C,'[1]FAR-April-Sept '!A:A,'Note 6'!B33)/$P$1</f>
        <v>4.8630199999999997</v>
      </c>
      <c r="AA33" s="36">
        <f t="shared" si="19"/>
        <v>7.1769800000000012</v>
      </c>
    </row>
    <row r="34" spans="1:29" ht="13.2" x14ac:dyDescent="0.25">
      <c r="A34" s="62" t="s">
        <v>28</v>
      </c>
      <c r="B34" s="41" t="s">
        <v>17</v>
      </c>
      <c r="D34" s="37">
        <f>ROUND(3731.36,2)</f>
        <v>3731.36</v>
      </c>
      <c r="E34" s="36"/>
      <c r="F34" s="37">
        <f>ROUND(136.34,2)</f>
        <v>136.34</v>
      </c>
      <c r="G34" s="31">
        <f t="shared" si="12"/>
        <v>0</v>
      </c>
      <c r="H34" s="31">
        <f t="shared" si="13"/>
        <v>3867.7000000000003</v>
      </c>
      <c r="I34" s="31"/>
      <c r="J34" s="31">
        <f>ROUND(13.09,2)</f>
        <v>13.09</v>
      </c>
      <c r="K34" s="31">
        <v>0</v>
      </c>
      <c r="L34" s="31">
        <f>ROUND(152.43,2)</f>
        <v>152.43</v>
      </c>
      <c r="M34" s="31">
        <f t="shared" si="14"/>
        <v>0</v>
      </c>
      <c r="N34" s="31">
        <f t="shared" si="18"/>
        <v>165.52</v>
      </c>
      <c r="O34" s="31"/>
      <c r="P34" s="31">
        <f t="shared" si="15"/>
        <v>3702.1800000000003</v>
      </c>
      <c r="Q34" s="31">
        <f t="shared" si="16"/>
        <v>3718.27</v>
      </c>
      <c r="R34" s="39"/>
      <c r="S34" s="39"/>
      <c r="T34" s="39"/>
      <c r="U34" s="39"/>
      <c r="V34" s="39"/>
      <c r="W34" s="39"/>
      <c r="X34" s="39"/>
      <c r="Y34" s="39"/>
      <c r="Z34" s="40">
        <f>-SUMIFS('[1]FAR-April-Sept '!C:C,'[1]FAR-April-Sept '!A:A,'Note 6'!B34)/$P$1</f>
        <v>1300.932</v>
      </c>
      <c r="AA34" s="36">
        <f t="shared" si="19"/>
        <v>-1135.412</v>
      </c>
      <c r="AC34" s="63"/>
    </row>
    <row r="35" spans="1:29" s="67" customFormat="1" x14ac:dyDescent="0.25">
      <c r="A35" s="64" t="s">
        <v>29</v>
      </c>
      <c r="B35" s="41" t="s">
        <v>18</v>
      </c>
      <c r="C35" s="65"/>
      <c r="D35" s="37">
        <f>ROUND(2.9,2)</f>
        <v>2.9</v>
      </c>
      <c r="E35" s="3"/>
      <c r="F35" s="37">
        <f>ROUND(0.21,2)</f>
        <v>0.21</v>
      </c>
      <c r="G35" s="31">
        <f t="shared" si="12"/>
        <v>0</v>
      </c>
      <c r="H35" s="31">
        <f t="shared" si="13"/>
        <v>3.11</v>
      </c>
      <c r="I35" s="31"/>
      <c r="J35" s="44">
        <f>ROUND(0.1,2)</f>
        <v>0.1</v>
      </c>
      <c r="K35" s="31">
        <v>0</v>
      </c>
      <c r="L35" s="31">
        <f>ROUND(0.29,2)</f>
        <v>0.28999999999999998</v>
      </c>
      <c r="M35" s="31">
        <f t="shared" si="14"/>
        <v>0</v>
      </c>
      <c r="N35" s="31">
        <f t="shared" si="18"/>
        <v>0.39</v>
      </c>
      <c r="O35" s="44"/>
      <c r="P35" s="31">
        <f t="shared" si="15"/>
        <v>2.7199999999999998</v>
      </c>
      <c r="Q35" s="44">
        <f t="shared" si="16"/>
        <v>2.8</v>
      </c>
      <c r="R35" s="66"/>
      <c r="S35" s="66"/>
      <c r="T35" s="66"/>
      <c r="U35" s="66"/>
      <c r="V35" s="66"/>
      <c r="W35" s="66"/>
      <c r="X35" s="66"/>
      <c r="Y35" s="66"/>
      <c r="Z35" s="40">
        <f>-SUMIFS('[1]FAR-April-Sept '!C:C,'[1]FAR-April-Sept '!A:A,'Note 6'!B35)/$P$1</f>
        <v>1.1819</v>
      </c>
      <c r="AA35" s="36">
        <f t="shared" si="19"/>
        <v>-0.79189999999999994</v>
      </c>
    </row>
    <row r="36" spans="1:29" x14ac:dyDescent="0.25">
      <c r="A36" s="59" t="s">
        <v>30</v>
      </c>
      <c r="B36" s="41" t="s">
        <v>19</v>
      </c>
      <c r="D36" s="37">
        <f>ROUND(2.97,2)</f>
        <v>2.97</v>
      </c>
      <c r="F36" s="37">
        <f>ROUND(18.32,2)</f>
        <v>18.32</v>
      </c>
      <c r="G36" s="68">
        <f>ROUND(-0.08,2)</f>
        <v>-0.08</v>
      </c>
      <c r="H36" s="31">
        <f t="shared" si="13"/>
        <v>21.21</v>
      </c>
      <c r="I36" s="31"/>
      <c r="J36" s="31">
        <f>ROUND(0.23,2)</f>
        <v>0.23</v>
      </c>
      <c r="K36" s="31">
        <v>0</v>
      </c>
      <c r="L36" s="31">
        <f>ROUND(2.54,2)</f>
        <v>2.54</v>
      </c>
      <c r="M36" s="31">
        <f t="shared" si="14"/>
        <v>0</v>
      </c>
      <c r="N36" s="31">
        <f t="shared" si="18"/>
        <v>2.77</v>
      </c>
      <c r="O36" s="31"/>
      <c r="P36" s="31">
        <f t="shared" si="15"/>
        <v>18.440000000000001</v>
      </c>
      <c r="Q36" s="31">
        <f t="shared" si="16"/>
        <v>2.74</v>
      </c>
      <c r="R36" s="39"/>
      <c r="S36" s="39"/>
      <c r="T36" s="39"/>
      <c r="U36" s="39"/>
      <c r="V36" s="39"/>
      <c r="W36" s="39"/>
      <c r="X36" s="39"/>
      <c r="Y36" s="39"/>
      <c r="Z36" s="40">
        <f>-SUMIFS('[1]FAR-April-Sept '!C:C,'[1]FAR-April-Sept '!A:A,'Note 6'!B36)/$P$1</f>
        <v>0.42508000000000001</v>
      </c>
      <c r="AA36" s="36">
        <f t="shared" si="19"/>
        <v>2.3449200000000001</v>
      </c>
    </row>
    <row r="37" spans="1:29" ht="13.2" x14ac:dyDescent="0.25">
      <c r="A37" s="62" t="s">
        <v>31</v>
      </c>
      <c r="B37" s="41" t="s">
        <v>20</v>
      </c>
      <c r="D37" s="37">
        <f>ROUND(1.32,2)</f>
        <v>1.32</v>
      </c>
      <c r="F37" s="37">
        <f>ROUND(1.46,2)</f>
        <v>1.46</v>
      </c>
      <c r="G37" s="68">
        <f>ROUND(-0.15,2)</f>
        <v>-0.15</v>
      </c>
      <c r="H37" s="31">
        <f t="shared" si="13"/>
        <v>2.6300000000000003</v>
      </c>
      <c r="I37" s="31"/>
      <c r="J37" s="31">
        <f>ROUND(0.26,2)</f>
        <v>0.26</v>
      </c>
      <c r="K37" s="31">
        <v>0</v>
      </c>
      <c r="L37" s="31">
        <f>ROUND(0.72,2)</f>
        <v>0.72</v>
      </c>
      <c r="M37" s="31">
        <f t="shared" si="14"/>
        <v>0</v>
      </c>
      <c r="N37" s="31">
        <f t="shared" si="18"/>
        <v>0.98</v>
      </c>
      <c r="O37" s="31"/>
      <c r="P37" s="31">
        <f t="shared" si="15"/>
        <v>1.6500000000000004</v>
      </c>
      <c r="Q37" s="31">
        <f t="shared" si="16"/>
        <v>1.06</v>
      </c>
      <c r="R37" s="39"/>
      <c r="S37" s="39"/>
      <c r="T37" s="39"/>
      <c r="U37" s="39"/>
      <c r="V37" s="39"/>
      <c r="W37" s="39"/>
      <c r="X37" s="39"/>
      <c r="Y37" s="39"/>
      <c r="Z37" s="40">
        <f>-SUMIFS('[1]FAR-April-Sept '!C:C,'[1]FAR-April-Sept '!A:A,'Note 6'!B37)/$P$1</f>
        <v>11.177709999999999</v>
      </c>
      <c r="AA37" s="36">
        <f t="shared" si="19"/>
        <v>-10.197709999999999</v>
      </c>
    </row>
    <row r="38" spans="1:29" ht="12.6" thickBot="1" x14ac:dyDescent="0.3">
      <c r="A38" s="59"/>
      <c r="B38" s="12" t="s">
        <v>22</v>
      </c>
      <c r="C38" s="47"/>
      <c r="D38" s="48">
        <f>SUM(D31:D37)</f>
        <v>4729.95</v>
      </c>
      <c r="E38" s="48">
        <f>SUM(E31:E37)+0.01</f>
        <v>0.01</v>
      </c>
      <c r="F38" s="48">
        <f>SUM(F31:F37)</f>
        <v>156.33000000000001</v>
      </c>
      <c r="G38" s="69">
        <f>SUM(G31:G37)</f>
        <v>-0.22999999999999998</v>
      </c>
      <c r="H38" s="48">
        <f>SUM(H31:H37)</f>
        <v>4886.05</v>
      </c>
      <c r="I38" s="49"/>
      <c r="J38" s="48">
        <f>SUM(J31:J37)</f>
        <v>16.059999999999999</v>
      </c>
      <c r="K38" s="48">
        <f>SUM(K34:K37)</f>
        <v>0</v>
      </c>
      <c r="L38" s="48">
        <f>SUM(L31:L37)</f>
        <v>183.11999999999998</v>
      </c>
      <c r="M38" s="48">
        <f>SUM(M31:M37)</f>
        <v>0</v>
      </c>
      <c r="N38" s="48">
        <f>SUM(N31:N37)</f>
        <v>199.18</v>
      </c>
      <c r="O38" s="49"/>
      <c r="P38" s="48">
        <f>SUM(P31:P37)</f>
        <v>4686.87</v>
      </c>
      <c r="Q38" s="48">
        <f>SUM(Q31:Q37)</f>
        <v>4713.8900000000003</v>
      </c>
      <c r="R38" s="49">
        <f>P38-'[1]Balance Sheet'!E8</f>
        <v>-27.020000000000437</v>
      </c>
      <c r="S38" s="51"/>
      <c r="T38" s="51"/>
      <c r="U38" s="51"/>
      <c r="V38" s="51"/>
      <c r="W38" s="51"/>
      <c r="X38" s="51"/>
      <c r="Y38" s="51"/>
      <c r="Z38" s="36">
        <f>SUM(Z31:Z37)</f>
        <v>1515.17923</v>
      </c>
      <c r="AA38" s="36">
        <f>SUM(AA31:AA37)</f>
        <v>-1315.9992299999999</v>
      </c>
      <c r="AB38" s="36"/>
      <c r="AC38" s="2"/>
    </row>
    <row r="39" spans="1:29" ht="8.5500000000000007" customHeight="1" thickTop="1" x14ac:dyDescent="0.25">
      <c r="A39" s="59"/>
      <c r="B39" s="12"/>
      <c r="C39" s="70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51"/>
      <c r="S39" s="51"/>
      <c r="T39" s="51"/>
      <c r="U39" s="51"/>
      <c r="V39" s="51"/>
      <c r="W39" s="51"/>
      <c r="X39" s="51"/>
      <c r="Y39" s="51"/>
      <c r="Z39" s="3"/>
      <c r="AA39" s="3"/>
      <c r="AB39" s="3"/>
    </row>
    <row r="40" spans="1:29" ht="8.5500000000000007" customHeight="1" x14ac:dyDescent="0.25">
      <c r="A40" s="59"/>
      <c r="B40" s="12"/>
      <c r="C40" s="70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51"/>
      <c r="S40" s="51"/>
      <c r="T40" s="51"/>
      <c r="U40" s="51"/>
      <c r="V40" s="51"/>
      <c r="W40" s="51"/>
      <c r="X40" s="51"/>
      <c r="Y40" s="51"/>
      <c r="Z40" s="3"/>
      <c r="AA40" s="3"/>
      <c r="AB40" s="3"/>
    </row>
    <row r="41" spans="1:29" x14ac:dyDescent="0.25">
      <c r="A41" s="71" t="s">
        <v>32</v>
      </c>
      <c r="B41" s="54" t="s">
        <v>23</v>
      </c>
      <c r="C41" s="8"/>
      <c r="D41" s="8">
        <v>0</v>
      </c>
      <c r="E41" s="55">
        <v>26401.342064194003</v>
      </c>
      <c r="F41" s="72">
        <v>0</v>
      </c>
      <c r="G41" s="72">
        <v>0</v>
      </c>
      <c r="H41" s="49">
        <f>+SUMIF('[1]TB 31-03-24'!M:M,'Note 6'!B41,'[1]TB 31-03-24'!Z:Z)</f>
        <v>0</v>
      </c>
      <c r="I41" s="8"/>
      <c r="J41" s="8">
        <v>0</v>
      </c>
      <c r="K41" s="72">
        <v>0</v>
      </c>
      <c r="L41" s="72">
        <v>0</v>
      </c>
      <c r="M41" s="8">
        <v>0</v>
      </c>
      <c r="N41" s="72">
        <f>SUM(J41:M41)</f>
        <v>0</v>
      </c>
      <c r="O41" s="8"/>
      <c r="P41" s="49">
        <f>H41-N41</f>
        <v>0</v>
      </c>
      <c r="Q41" s="72">
        <f>D41-J41</f>
        <v>0</v>
      </c>
      <c r="R41" s="73"/>
      <c r="S41" s="73"/>
      <c r="T41" s="73"/>
      <c r="U41" s="73"/>
      <c r="V41" s="73"/>
      <c r="W41" s="73"/>
      <c r="X41" s="73"/>
      <c r="Y41" s="73"/>
      <c r="Z41" s="40"/>
      <c r="AA41" s="40"/>
      <c r="AB41" s="40"/>
      <c r="AC41" s="40"/>
    </row>
    <row r="42" spans="1:29" x14ac:dyDescent="0.25">
      <c r="A42" s="71"/>
      <c r="B42" s="54"/>
      <c r="C42" s="8"/>
      <c r="D42" s="8"/>
      <c r="E42" s="55"/>
      <c r="F42" s="72"/>
      <c r="G42" s="72"/>
      <c r="H42" s="49"/>
      <c r="I42" s="8"/>
      <c r="J42" s="8"/>
      <c r="K42" s="72"/>
      <c r="L42" s="72"/>
      <c r="M42" s="8"/>
      <c r="N42" s="72"/>
      <c r="O42" s="8"/>
      <c r="P42" s="49"/>
      <c r="Q42" s="72"/>
      <c r="R42" s="73"/>
      <c r="S42" s="73"/>
      <c r="T42" s="73"/>
      <c r="U42" s="73"/>
      <c r="V42" s="73"/>
      <c r="W42" s="73"/>
      <c r="X42" s="73"/>
      <c r="Y42" s="73"/>
      <c r="Z42" s="40"/>
      <c r="AA42" s="40"/>
      <c r="AB42" s="40"/>
      <c r="AC42" s="40"/>
    </row>
    <row r="43" spans="1:29" x14ac:dyDescent="0.25">
      <c r="A43" s="71"/>
      <c r="B43" s="54"/>
      <c r="C43" s="8"/>
      <c r="D43" s="8"/>
      <c r="E43" s="55"/>
      <c r="F43" s="49"/>
      <c r="G43" s="74"/>
      <c r="H43" s="49"/>
      <c r="I43" s="8"/>
      <c r="J43" s="8"/>
      <c r="K43" s="72"/>
      <c r="L43" s="72"/>
      <c r="M43" s="8"/>
      <c r="N43" s="72"/>
      <c r="O43" s="8"/>
      <c r="P43" s="49"/>
      <c r="Q43" s="72"/>
      <c r="R43" s="73"/>
      <c r="S43" s="73"/>
      <c r="T43" s="73"/>
      <c r="U43" s="73"/>
      <c r="V43" s="73"/>
      <c r="W43" s="73"/>
      <c r="X43" s="73"/>
      <c r="Y43" s="73"/>
      <c r="Z43" s="40"/>
      <c r="AA43" s="40"/>
      <c r="AB43" s="40"/>
      <c r="AC43" s="40"/>
    </row>
    <row r="44" spans="1:29" hidden="1" x14ac:dyDescent="0.25">
      <c r="A44" s="71"/>
      <c r="B44" s="54"/>
      <c r="C44" s="8"/>
      <c r="D44" s="8"/>
      <c r="E44" s="55"/>
      <c r="F44" s="49"/>
      <c r="G44" s="74"/>
      <c r="H44" s="49"/>
      <c r="I44" s="8"/>
      <c r="J44" s="8"/>
      <c r="K44" s="72"/>
      <c r="L44" s="72"/>
      <c r="M44" s="8"/>
      <c r="N44" s="72"/>
      <c r="O44" s="8"/>
      <c r="P44" s="49"/>
      <c r="Q44" s="72"/>
      <c r="R44" s="73"/>
      <c r="S44" s="73"/>
      <c r="T44" s="73"/>
      <c r="U44" s="73"/>
      <c r="V44" s="73"/>
      <c r="W44" s="73"/>
      <c r="X44" s="73"/>
      <c r="Y44" s="73"/>
      <c r="Z44" s="40"/>
      <c r="AA44" s="40"/>
      <c r="AB44" s="40"/>
      <c r="AC44" s="40"/>
    </row>
    <row r="45" spans="1:29" s="77" customFormat="1" hidden="1" x14ac:dyDescent="0.25">
      <c r="A45" s="71"/>
      <c r="B45" s="7"/>
      <c r="C45" s="16" t="s">
        <v>1</v>
      </c>
      <c r="D45" s="133" t="s">
        <v>2</v>
      </c>
      <c r="E45" s="133"/>
      <c r="F45" s="133"/>
      <c r="G45" s="133"/>
      <c r="H45" s="133"/>
      <c r="I45" s="17"/>
      <c r="J45" s="133" t="s">
        <v>33</v>
      </c>
      <c r="K45" s="133"/>
      <c r="L45" s="133"/>
      <c r="M45" s="133"/>
      <c r="N45" s="133"/>
      <c r="O45" s="17"/>
      <c r="P45" s="133" t="s">
        <v>4</v>
      </c>
      <c r="Q45" s="133"/>
      <c r="R45" s="75"/>
      <c r="S45" s="75"/>
      <c r="T45" s="75"/>
      <c r="U45" s="75"/>
      <c r="V45" s="75"/>
      <c r="W45" s="75"/>
      <c r="X45" s="75"/>
      <c r="Y45" s="75"/>
      <c r="Z45" s="76"/>
      <c r="AA45" s="76"/>
      <c r="AB45" s="76"/>
      <c r="AC45" s="76"/>
    </row>
    <row r="46" spans="1:29" s="77" customFormat="1" ht="12" hidden="1" customHeight="1" x14ac:dyDescent="0.25">
      <c r="A46" s="71"/>
      <c r="B46" s="7"/>
      <c r="C46" s="78" t="s">
        <v>5</v>
      </c>
      <c r="D46" s="129" t="s">
        <v>34</v>
      </c>
      <c r="E46" s="123" t="s">
        <v>7</v>
      </c>
      <c r="F46" s="123" t="s">
        <v>8</v>
      </c>
      <c r="G46" s="123" t="s">
        <v>9</v>
      </c>
      <c r="H46" s="129" t="s">
        <v>35</v>
      </c>
      <c r="I46" s="17"/>
      <c r="J46" s="131" t="str">
        <f>D46</f>
        <v>As at 
1st April 2021</v>
      </c>
      <c r="K46" s="123" t="str">
        <f>E46</f>
        <v>Acquisition through Business Combination 
Refer Note 34</v>
      </c>
      <c r="L46" s="123" t="s">
        <v>10</v>
      </c>
      <c r="M46" s="127" t="s">
        <v>9</v>
      </c>
      <c r="N46" s="123" t="str">
        <f>H46</f>
        <v>As at 
31 March 2022</v>
      </c>
      <c r="O46" s="17"/>
      <c r="P46" s="123" t="str">
        <f>N46</f>
        <v>As at 
31 March 2022</v>
      </c>
      <c r="Q46" s="123" t="str">
        <f>J46</f>
        <v>As at 
1st April 2021</v>
      </c>
      <c r="R46" s="75"/>
      <c r="S46" s="75"/>
      <c r="T46" s="75"/>
      <c r="U46" s="75"/>
      <c r="V46" s="75"/>
      <c r="W46" s="75"/>
      <c r="X46" s="75"/>
      <c r="Y46" s="75"/>
      <c r="Z46" s="76"/>
      <c r="AA46" s="76"/>
      <c r="AB46" s="76"/>
      <c r="AC46" s="76"/>
    </row>
    <row r="47" spans="1:29" s="77" customFormat="1" hidden="1" x14ac:dyDescent="0.25">
      <c r="A47" s="71"/>
      <c r="B47" s="7"/>
      <c r="C47" s="79"/>
      <c r="D47" s="129"/>
      <c r="E47" s="123"/>
      <c r="F47" s="123"/>
      <c r="G47" s="123"/>
      <c r="H47" s="129"/>
      <c r="I47" s="17"/>
      <c r="J47" s="131"/>
      <c r="K47" s="123"/>
      <c r="L47" s="123"/>
      <c r="M47" s="127"/>
      <c r="N47" s="123"/>
      <c r="O47" s="17"/>
      <c r="P47" s="123"/>
      <c r="Q47" s="123"/>
      <c r="R47" s="75"/>
      <c r="S47" s="75"/>
      <c r="T47" s="75"/>
      <c r="U47" s="75"/>
      <c r="V47" s="75"/>
      <c r="W47" s="75"/>
      <c r="X47" s="75"/>
      <c r="Y47" s="75"/>
      <c r="Z47" s="76"/>
      <c r="AA47" s="76"/>
      <c r="AB47" s="76"/>
      <c r="AC47" s="76"/>
    </row>
    <row r="48" spans="1:29" s="77" customFormat="1" hidden="1" x14ac:dyDescent="0.25">
      <c r="A48" s="71"/>
      <c r="B48" s="7"/>
      <c r="C48" s="80"/>
      <c r="D48" s="130"/>
      <c r="E48" s="126"/>
      <c r="F48" s="126"/>
      <c r="G48" s="126"/>
      <c r="H48" s="130"/>
      <c r="I48" s="17"/>
      <c r="J48" s="132"/>
      <c r="K48" s="126"/>
      <c r="L48" s="126"/>
      <c r="M48" s="128"/>
      <c r="N48" s="126"/>
      <c r="O48" s="17"/>
      <c r="P48" s="126"/>
      <c r="Q48" s="126"/>
      <c r="R48" s="75"/>
      <c r="S48" s="75"/>
      <c r="T48" s="75"/>
      <c r="U48" s="75"/>
      <c r="V48" s="75"/>
      <c r="W48" s="75"/>
      <c r="X48" s="75"/>
      <c r="Y48" s="75"/>
      <c r="Z48" s="76"/>
      <c r="AA48" s="76"/>
      <c r="AB48" s="76"/>
      <c r="AC48" s="76"/>
    </row>
    <row r="49" spans="1:29" s="77" customFormat="1" hidden="1" x14ac:dyDescent="0.25">
      <c r="A49" s="71"/>
      <c r="B49" s="29" t="s">
        <v>12</v>
      </c>
      <c r="C49" s="36"/>
      <c r="D49" s="5"/>
      <c r="E49" s="81"/>
      <c r="F49" s="5"/>
      <c r="G49" s="81"/>
      <c r="H49" s="36">
        <f t="shared" ref="H49:H54" si="20">SUM(D49:G49)</f>
        <v>0</v>
      </c>
      <c r="I49" s="81"/>
      <c r="J49" s="81"/>
      <c r="K49" s="81"/>
      <c r="L49" s="81"/>
      <c r="M49" s="81"/>
      <c r="N49" s="81"/>
      <c r="O49" s="81"/>
      <c r="P49" s="81"/>
      <c r="Q49" s="81"/>
      <c r="R49" s="75"/>
      <c r="S49" s="75"/>
      <c r="T49" s="75"/>
      <c r="U49" s="75"/>
      <c r="V49" s="75"/>
      <c r="W49" s="75"/>
      <c r="X49" s="75"/>
      <c r="Y49" s="75"/>
      <c r="Z49" s="76"/>
      <c r="AA49" s="76"/>
      <c r="AB49" s="76"/>
      <c r="AC49" s="76"/>
    </row>
    <row r="50" spans="1:29" s="77" customFormat="1" ht="14.4" hidden="1" x14ac:dyDescent="0.3">
      <c r="A50" s="71"/>
      <c r="B50" s="35" t="s">
        <v>14</v>
      </c>
      <c r="C50" s="36"/>
      <c r="D50" s="82">
        <f>ROUND(363.4617,2)</f>
        <v>363.46</v>
      </c>
      <c r="E50" s="36"/>
      <c r="F50" s="83">
        <f>ROUND(112.7105,2)</f>
        <v>112.71</v>
      </c>
      <c r="G50" s="31">
        <f t="shared" ref="G50:G54" si="21">ROUND(0,2)</f>
        <v>0</v>
      </c>
      <c r="H50" s="84">
        <f>SUM(D50:G50)</f>
        <v>476.16999999999996</v>
      </c>
      <c r="I50" s="31"/>
      <c r="J50" s="31">
        <f t="shared" ref="J50:J54" si="22">ROUND(0,2)</f>
        <v>0</v>
      </c>
      <c r="K50" s="36"/>
      <c r="L50" s="36">
        <v>0</v>
      </c>
      <c r="M50" s="31">
        <f t="shared" ref="M50:M54" si="23">ROUND(0,2)</f>
        <v>0</v>
      </c>
      <c r="N50" s="31">
        <f t="shared" ref="N50:N57" si="24">SUM(J50:M50)</f>
        <v>0</v>
      </c>
      <c r="O50" s="31"/>
      <c r="P50" s="31">
        <f t="shared" ref="P50:P57" si="25">H50-N50</f>
        <v>476.16999999999996</v>
      </c>
      <c r="Q50" s="85">
        <v>363.46170000000001</v>
      </c>
      <c r="R50" s="75"/>
      <c r="S50" s="75"/>
      <c r="T50" s="75"/>
      <c r="U50" s="75"/>
      <c r="V50" s="75"/>
      <c r="W50" s="75"/>
      <c r="X50" s="75"/>
      <c r="Y50" s="75"/>
      <c r="Z50" s="76"/>
      <c r="AA50" s="76"/>
      <c r="AB50" s="76"/>
      <c r="AC50" s="76"/>
    </row>
    <row r="51" spans="1:29" s="77" customFormat="1" ht="14.4" hidden="1" x14ac:dyDescent="0.3">
      <c r="A51" s="71"/>
      <c r="B51" s="41" t="s">
        <v>15</v>
      </c>
      <c r="C51" s="36"/>
      <c r="D51" s="31">
        <f t="shared" ref="D51:D54" si="26">ROUND(0,2)</f>
        <v>0</v>
      </c>
      <c r="E51" s="36"/>
      <c r="F51" s="83">
        <f>ROUND(482.0309,2)</f>
        <v>482.03</v>
      </c>
      <c r="G51" s="31">
        <f t="shared" si="21"/>
        <v>0</v>
      </c>
      <c r="H51" s="84">
        <f t="shared" si="20"/>
        <v>482.03</v>
      </c>
      <c r="I51" s="31"/>
      <c r="J51" s="31">
        <f t="shared" si="22"/>
        <v>0</v>
      </c>
      <c r="K51" s="31"/>
      <c r="L51" s="86">
        <f>ROUND(1.4087,2)</f>
        <v>1.41</v>
      </c>
      <c r="M51" s="31">
        <f t="shared" si="23"/>
        <v>0</v>
      </c>
      <c r="N51" s="31">
        <f t="shared" si="24"/>
        <v>1.41</v>
      </c>
      <c r="O51" s="31"/>
      <c r="P51" s="31">
        <f t="shared" si="25"/>
        <v>480.61999999999995</v>
      </c>
      <c r="Q51" s="31">
        <v>0</v>
      </c>
      <c r="R51" s="75"/>
      <c r="S51" s="75"/>
      <c r="T51" s="75"/>
      <c r="U51" s="75"/>
      <c r="V51" s="75"/>
      <c r="W51" s="75"/>
      <c r="X51" s="75"/>
      <c r="Y51" s="75"/>
      <c r="Z51" s="76"/>
      <c r="AA51" s="76"/>
      <c r="AB51" s="76"/>
      <c r="AC51" s="76"/>
    </row>
    <row r="52" spans="1:29" s="77" customFormat="1" ht="14.4" hidden="1" x14ac:dyDescent="0.3">
      <c r="A52" s="71"/>
      <c r="B52" s="41" t="s">
        <v>16</v>
      </c>
      <c r="C52" s="36"/>
      <c r="D52" s="31">
        <f t="shared" si="26"/>
        <v>0</v>
      </c>
      <c r="E52" s="36"/>
      <c r="F52" s="83">
        <f>ROUND(33.1987,2)</f>
        <v>33.200000000000003</v>
      </c>
      <c r="G52" s="31">
        <f t="shared" si="21"/>
        <v>0</v>
      </c>
      <c r="H52" s="84">
        <f t="shared" si="20"/>
        <v>33.200000000000003</v>
      </c>
      <c r="I52" s="31"/>
      <c r="J52" s="31">
        <f t="shared" si="22"/>
        <v>0</v>
      </c>
      <c r="K52" s="31"/>
      <c r="L52" s="86">
        <f>ROUND(0.9702,2)</f>
        <v>0.97</v>
      </c>
      <c r="M52" s="31">
        <f t="shared" si="23"/>
        <v>0</v>
      </c>
      <c r="N52" s="31">
        <f t="shared" si="24"/>
        <v>0.97</v>
      </c>
      <c r="O52" s="31"/>
      <c r="P52" s="31">
        <f t="shared" si="25"/>
        <v>32.230000000000004</v>
      </c>
      <c r="Q52" s="31">
        <v>0</v>
      </c>
      <c r="R52" s="75"/>
      <c r="S52" s="75"/>
      <c r="T52" s="75"/>
      <c r="U52" s="75"/>
      <c r="V52" s="75"/>
      <c r="W52" s="75"/>
      <c r="X52" s="75"/>
      <c r="Y52" s="75"/>
      <c r="Z52" s="76"/>
      <c r="AA52" s="76"/>
      <c r="AB52" s="76"/>
      <c r="AC52" s="76"/>
    </row>
    <row r="53" spans="1:29" s="77" customFormat="1" ht="14.4" hidden="1" x14ac:dyDescent="0.3">
      <c r="A53" s="71"/>
      <c r="B53" s="41" t="s">
        <v>17</v>
      </c>
      <c r="C53" s="36"/>
      <c r="D53" s="31">
        <f t="shared" si="26"/>
        <v>0</v>
      </c>
      <c r="E53" s="36"/>
      <c r="F53" s="83">
        <f>ROUND(3731.3529,2)</f>
        <v>3731.35</v>
      </c>
      <c r="G53" s="31">
        <f t="shared" si="21"/>
        <v>0</v>
      </c>
      <c r="H53" s="84">
        <f t="shared" si="20"/>
        <v>3731.35</v>
      </c>
      <c r="I53" s="31"/>
      <c r="J53" s="31">
        <f t="shared" si="22"/>
        <v>0</v>
      </c>
      <c r="K53" s="31"/>
      <c r="L53" s="86">
        <f>ROUND(13.0853,2)</f>
        <v>13.09</v>
      </c>
      <c r="M53" s="31">
        <f t="shared" si="23"/>
        <v>0</v>
      </c>
      <c r="N53" s="31">
        <f t="shared" si="24"/>
        <v>13.09</v>
      </c>
      <c r="O53" s="31"/>
      <c r="P53" s="31">
        <f t="shared" si="25"/>
        <v>3718.2599999999998</v>
      </c>
      <c r="Q53" s="31">
        <v>0</v>
      </c>
      <c r="R53" s="75"/>
      <c r="S53" s="75"/>
      <c r="T53" s="75"/>
      <c r="U53" s="75"/>
      <c r="V53" s="75"/>
      <c r="W53" s="75"/>
      <c r="X53" s="75"/>
      <c r="Y53" s="75"/>
      <c r="Z53" s="76"/>
      <c r="AA53" s="76"/>
      <c r="AB53" s="76"/>
      <c r="AC53" s="76"/>
    </row>
    <row r="54" spans="1:29" s="77" customFormat="1" ht="14.4" hidden="1" x14ac:dyDescent="0.3">
      <c r="A54" s="71"/>
      <c r="B54" s="41" t="s">
        <v>18</v>
      </c>
      <c r="C54" s="43"/>
      <c r="D54" s="31">
        <f t="shared" si="26"/>
        <v>0</v>
      </c>
      <c r="E54" s="36"/>
      <c r="F54" s="83">
        <f>ROUND(2.8944,2)</f>
        <v>2.89</v>
      </c>
      <c r="G54" s="31">
        <f t="shared" si="21"/>
        <v>0</v>
      </c>
      <c r="H54" s="84">
        <f t="shared" si="20"/>
        <v>2.89</v>
      </c>
      <c r="I54" s="31"/>
      <c r="J54" s="31">
        <f t="shared" si="22"/>
        <v>0</v>
      </c>
      <c r="K54" s="31"/>
      <c r="L54" s="86">
        <f>ROUND(0.0985,2)</f>
        <v>0.1</v>
      </c>
      <c r="M54" s="31">
        <f t="shared" si="23"/>
        <v>0</v>
      </c>
      <c r="N54" s="31">
        <f t="shared" si="24"/>
        <v>0.1</v>
      </c>
      <c r="O54" s="44"/>
      <c r="P54" s="31">
        <f t="shared" si="25"/>
        <v>2.79</v>
      </c>
      <c r="Q54" s="3">
        <v>0</v>
      </c>
      <c r="R54" s="75"/>
      <c r="S54" s="75"/>
      <c r="T54" s="75"/>
      <c r="U54" s="75"/>
      <c r="V54" s="75"/>
      <c r="W54" s="75"/>
      <c r="X54" s="75"/>
      <c r="Y54" s="75"/>
      <c r="Z54" s="76"/>
      <c r="AA54" s="76"/>
      <c r="AB54" s="76"/>
      <c r="AC54" s="76"/>
    </row>
    <row r="55" spans="1:29" s="77" customFormat="1" ht="14.4" hidden="1" x14ac:dyDescent="0.3">
      <c r="A55" s="71"/>
      <c r="B55" s="41" t="s">
        <v>36</v>
      </c>
      <c r="C55" s="43"/>
      <c r="D55" s="82">
        <f>ROUND(0.8354,2)</f>
        <v>0.84</v>
      </c>
      <c r="E55" s="87"/>
      <c r="F55" s="31">
        <f t="shared" ref="F55" si="27">ROUND(0,2)</f>
        <v>0</v>
      </c>
      <c r="G55" s="86">
        <f>ROUND(0.8354,2)</f>
        <v>0.84</v>
      </c>
      <c r="H55" s="84">
        <f>D55+F55-G55</f>
        <v>0</v>
      </c>
      <c r="I55" s="31"/>
      <c r="J55" s="86">
        <f>ROUND(0.0032,)</f>
        <v>0</v>
      </c>
      <c r="K55" s="31"/>
      <c r="L55" s="31">
        <f t="shared" ref="L55" si="28">ROUND(0,2)</f>
        <v>0</v>
      </c>
      <c r="M55" s="86">
        <f>ROUND(0.0032,2)</f>
        <v>0</v>
      </c>
      <c r="N55" s="31">
        <f t="shared" si="24"/>
        <v>0</v>
      </c>
      <c r="O55" s="44"/>
      <c r="P55" s="31">
        <f>H55-N55</f>
        <v>0</v>
      </c>
      <c r="Q55" s="3"/>
      <c r="R55" s="75"/>
      <c r="S55" s="75"/>
      <c r="T55" s="75"/>
      <c r="U55" s="75"/>
      <c r="V55" s="75"/>
      <c r="W55" s="75"/>
      <c r="X55" s="75"/>
      <c r="Y55" s="75"/>
      <c r="Z55" s="76"/>
      <c r="AA55" s="76"/>
      <c r="AB55" s="76"/>
      <c r="AC55" s="76"/>
    </row>
    <row r="56" spans="1:29" s="77" customFormat="1" ht="14.4" hidden="1" x14ac:dyDescent="0.3">
      <c r="A56" s="71"/>
      <c r="B56" s="41" t="s">
        <v>19</v>
      </c>
      <c r="C56" s="36"/>
      <c r="D56" s="31">
        <f t="shared" ref="D56" si="29">ROUND(0,2)</f>
        <v>0</v>
      </c>
      <c r="E56" s="36"/>
      <c r="F56" s="83">
        <f>ROUND(2.9716,2)</f>
        <v>2.97</v>
      </c>
      <c r="G56" s="31">
        <f t="shared" ref="G56:G57" si="30">ROUND(0,2)</f>
        <v>0</v>
      </c>
      <c r="H56" s="84">
        <f>SUM(D56:G56)</f>
        <v>2.97</v>
      </c>
      <c r="I56" s="31"/>
      <c r="J56" s="31">
        <f t="shared" ref="J56" si="31">ROUND(0,2)</f>
        <v>0</v>
      </c>
      <c r="K56" s="31"/>
      <c r="L56" s="86">
        <f>ROUND(0.2289,2)</f>
        <v>0.23</v>
      </c>
      <c r="M56" s="31">
        <f t="shared" ref="M56:M57" si="32">ROUND(0,2)</f>
        <v>0</v>
      </c>
      <c r="N56" s="31">
        <f t="shared" si="24"/>
        <v>0.23</v>
      </c>
      <c r="O56" s="31"/>
      <c r="P56" s="31">
        <f t="shared" si="25"/>
        <v>2.74</v>
      </c>
      <c r="Q56" s="31">
        <v>0</v>
      </c>
      <c r="R56" s="75"/>
      <c r="S56" s="75"/>
      <c r="T56" s="75"/>
      <c r="U56" s="75"/>
      <c r="V56" s="75"/>
      <c r="W56" s="75"/>
      <c r="X56" s="75"/>
      <c r="Y56" s="75"/>
      <c r="Z56" s="76"/>
      <c r="AA56" s="76"/>
      <c r="AB56" s="76"/>
      <c r="AC56" s="76"/>
    </row>
    <row r="57" spans="1:29" s="77" customFormat="1" ht="14.4" hidden="1" x14ac:dyDescent="0.3">
      <c r="A57" s="71"/>
      <c r="B57" s="41" t="s">
        <v>20</v>
      </c>
      <c r="C57" s="36"/>
      <c r="D57" s="82">
        <f>ROUND(0.424,2)</f>
        <v>0.42</v>
      </c>
      <c r="E57" s="36"/>
      <c r="F57" s="83">
        <f>ROUND(0.8863,2)</f>
        <v>0.89</v>
      </c>
      <c r="G57" s="31">
        <f t="shared" si="30"/>
        <v>0</v>
      </c>
      <c r="H57" s="84">
        <f>SUM(D57:G57)</f>
        <v>1.31</v>
      </c>
      <c r="I57" s="31"/>
      <c r="J57" s="86">
        <f>ROUND(0.0511,2)</f>
        <v>0.05</v>
      </c>
      <c r="K57" s="31"/>
      <c r="L57" s="86">
        <f>ROUND(0.2066,2)</f>
        <v>0.21</v>
      </c>
      <c r="M57" s="31">
        <f t="shared" si="32"/>
        <v>0</v>
      </c>
      <c r="N57" s="31">
        <f t="shared" si="24"/>
        <v>0.26</v>
      </c>
      <c r="O57" s="31"/>
      <c r="P57" s="31">
        <f t="shared" si="25"/>
        <v>1.05</v>
      </c>
      <c r="Q57" s="86">
        <v>0.42399999999999999</v>
      </c>
      <c r="R57" s="75"/>
      <c r="S57" s="75"/>
      <c r="T57" s="75"/>
      <c r="U57" s="75"/>
      <c r="V57" s="75"/>
      <c r="W57" s="75"/>
      <c r="X57" s="75"/>
      <c r="Y57" s="75"/>
      <c r="Z57" s="76"/>
      <c r="AA57" s="76"/>
      <c r="AB57" s="76"/>
      <c r="AC57" s="76"/>
    </row>
    <row r="58" spans="1:29" s="77" customFormat="1" ht="12.6" hidden="1" thickBot="1" x14ac:dyDescent="0.3">
      <c r="A58" s="71"/>
      <c r="B58" s="12" t="s">
        <v>22</v>
      </c>
      <c r="C58" s="47"/>
      <c r="D58" s="48">
        <f>SUM(D50:D57)</f>
        <v>364.71999999999997</v>
      </c>
      <c r="E58" s="48">
        <f>SUM(E50:E57)+0.01</f>
        <v>0.01</v>
      </c>
      <c r="F58" s="48">
        <f>SUM(F50:F57)</f>
        <v>4366.0400000000009</v>
      </c>
      <c r="G58" s="48">
        <f>SUM(G50:G57)</f>
        <v>0.84</v>
      </c>
      <c r="H58" s="48">
        <f>SUM(H50:H57)</f>
        <v>4729.920000000001</v>
      </c>
      <c r="I58" s="49"/>
      <c r="J58" s="48">
        <f>SUM(J50:J57)</f>
        <v>0.05</v>
      </c>
      <c r="K58" s="48"/>
      <c r="L58" s="48">
        <f>SUM(L50:L57)</f>
        <v>16.009999999999998</v>
      </c>
      <c r="M58" s="48">
        <f>SUM(M50:M57)</f>
        <v>0</v>
      </c>
      <c r="N58" s="48">
        <f>SUM(N50:N57)</f>
        <v>16.059999999999999</v>
      </c>
      <c r="O58" s="48"/>
      <c r="P58" s="48">
        <f>SUM(P50:P57)</f>
        <v>4713.8599999999997</v>
      </c>
      <c r="Q58" s="48">
        <f>SUM(Q50:Q57)</f>
        <v>363.88569999999999</v>
      </c>
      <c r="R58" s="75"/>
      <c r="S58" s="75"/>
      <c r="T58" s="75"/>
      <c r="U58" s="75"/>
      <c r="V58" s="75"/>
      <c r="W58" s="75"/>
      <c r="X58" s="75"/>
      <c r="Y58" s="75"/>
      <c r="Z58" s="76"/>
      <c r="AA58" s="76"/>
      <c r="AB58" s="76"/>
      <c r="AC58" s="76"/>
    </row>
    <row r="59" spans="1:29" ht="8.5500000000000007" hidden="1" customHeight="1" thickTop="1" x14ac:dyDescent="0.25">
      <c r="A59" s="71"/>
      <c r="B59" s="12"/>
      <c r="C59" s="70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14"/>
      <c r="S59" s="14"/>
      <c r="T59" s="14"/>
      <c r="U59" s="14"/>
      <c r="V59" s="14"/>
      <c r="W59" s="14"/>
      <c r="X59" s="14"/>
      <c r="Y59" s="14"/>
      <c r="Z59" s="40"/>
      <c r="AA59" s="40"/>
      <c r="AB59" s="40"/>
    </row>
    <row r="60" spans="1:29" ht="12" hidden="1" customHeight="1" x14ac:dyDescent="0.25">
      <c r="A60" s="71"/>
      <c r="B60" s="54" t="s">
        <v>23</v>
      </c>
      <c r="C60" s="8"/>
      <c r="D60" s="8">
        <v>0</v>
      </c>
      <c r="E60" s="55">
        <v>26401.342064194003</v>
      </c>
      <c r="F60" s="49"/>
      <c r="G60" s="74"/>
      <c r="H60" s="49">
        <f>+SUMIF('[1]TB 31-03-24'!M:M,'Note 6'!B60,'[1]TB 31-03-24'!Z:Z)</f>
        <v>0</v>
      </c>
      <c r="I60" s="8"/>
      <c r="J60" s="8">
        <v>0</v>
      </c>
      <c r="K60" s="72">
        <v>0</v>
      </c>
      <c r="L60" s="72">
        <v>0</v>
      </c>
      <c r="M60" s="8">
        <v>0</v>
      </c>
      <c r="N60" s="72">
        <f>SUM(J60:M60)</f>
        <v>0</v>
      </c>
      <c r="O60" s="8"/>
      <c r="P60" s="49">
        <f>H60-N60</f>
        <v>0</v>
      </c>
      <c r="Q60" s="72">
        <f>D60-J60</f>
        <v>0</v>
      </c>
      <c r="R60" s="18"/>
      <c r="S60" s="18"/>
      <c r="T60" s="18"/>
      <c r="U60" s="18"/>
      <c r="V60" s="18"/>
      <c r="W60" s="18"/>
      <c r="X60" s="18"/>
      <c r="Y60" s="18"/>
      <c r="Z60" s="40"/>
      <c r="AA60" s="40"/>
      <c r="AB60" s="40"/>
    </row>
    <row r="61" spans="1:29" ht="39.75" hidden="1" customHeight="1" x14ac:dyDescent="0.25">
      <c r="A61" s="71"/>
      <c r="B61" s="7"/>
      <c r="C61" s="21" t="s">
        <v>5</v>
      </c>
      <c r="D61" s="60" t="s">
        <v>37</v>
      </c>
      <c r="E61" s="22" t="s">
        <v>38</v>
      </c>
      <c r="F61" s="22" t="s">
        <v>39</v>
      </c>
      <c r="G61" s="22"/>
      <c r="H61" s="22" t="s">
        <v>40</v>
      </c>
      <c r="I61" s="17"/>
      <c r="J61" s="22" t="str">
        <f>D61</f>
        <v>As at 
1 April 2021</v>
      </c>
      <c r="K61" s="22" t="s">
        <v>38</v>
      </c>
      <c r="L61" s="22" t="s">
        <v>10</v>
      </c>
      <c r="M61" s="24" t="s">
        <v>41</v>
      </c>
      <c r="N61" s="22" t="str">
        <f>H61</f>
        <v>As at
31 March 2022</v>
      </c>
      <c r="O61" s="17"/>
      <c r="P61" s="123" t="str">
        <f>N61</f>
        <v>As at
31 March 2022</v>
      </c>
      <c r="Q61" s="123" t="s">
        <v>42</v>
      </c>
      <c r="R61" s="25"/>
      <c r="S61" s="25"/>
      <c r="T61" s="25"/>
      <c r="U61" s="25"/>
      <c r="V61" s="25"/>
      <c r="W61" s="25"/>
      <c r="X61" s="25"/>
      <c r="Y61" s="25"/>
    </row>
    <row r="62" spans="1:29" ht="12" hidden="1" customHeight="1" x14ac:dyDescent="0.25">
      <c r="A62" s="71"/>
      <c r="B62" s="7"/>
      <c r="C62" s="28"/>
      <c r="D62" s="88"/>
      <c r="E62" s="89"/>
      <c r="F62" s="89"/>
      <c r="G62" s="89"/>
      <c r="H62" s="90"/>
      <c r="I62" s="17"/>
      <c r="J62" s="89"/>
      <c r="K62" s="89"/>
      <c r="L62" s="89"/>
      <c r="M62" s="91"/>
      <c r="N62" s="89"/>
      <c r="O62" s="17"/>
      <c r="P62" s="123"/>
      <c r="Q62" s="123"/>
      <c r="R62" s="25"/>
      <c r="S62" s="25"/>
      <c r="T62" s="25"/>
      <c r="U62" s="25"/>
      <c r="V62" s="25"/>
      <c r="W62" s="25"/>
      <c r="X62" s="25"/>
      <c r="Y62" s="25"/>
    </row>
    <row r="63" spans="1:29" s="94" customFormat="1" ht="12" hidden="1" customHeight="1" x14ac:dyDescent="0.25">
      <c r="A63" s="92"/>
      <c r="B63" s="29" t="s">
        <v>12</v>
      </c>
      <c r="C63" s="30"/>
      <c r="D63" s="30"/>
      <c r="E63" s="30"/>
      <c r="F63" s="30"/>
      <c r="G63" s="30"/>
      <c r="H63" s="30"/>
      <c r="I63" s="93"/>
      <c r="J63" s="30"/>
      <c r="K63" s="30"/>
      <c r="L63" s="30"/>
      <c r="M63" s="30"/>
      <c r="N63" s="30"/>
      <c r="O63" s="93"/>
      <c r="P63" s="93"/>
      <c r="Q63" s="93"/>
    </row>
    <row r="64" spans="1:29" ht="12" hidden="1" customHeight="1" x14ac:dyDescent="0.25">
      <c r="A64" s="59"/>
      <c r="B64" s="35" t="s">
        <v>14</v>
      </c>
      <c r="D64" s="31">
        <v>0</v>
      </c>
      <c r="E64" s="31">
        <v>0</v>
      </c>
      <c r="F64" s="31">
        <v>0</v>
      </c>
      <c r="G64" s="31"/>
      <c r="H64" s="37">
        <f>SUM(D64:G64)</f>
        <v>0</v>
      </c>
      <c r="I64" s="31"/>
      <c r="J64" s="31">
        <v>0</v>
      </c>
      <c r="K64" s="31">
        <v>0</v>
      </c>
      <c r="L64" s="31">
        <v>0</v>
      </c>
      <c r="M64" s="31">
        <v>0</v>
      </c>
      <c r="N64" s="31">
        <f t="shared" ref="N64:N70" si="33">SUM(J64:M64)</f>
        <v>0</v>
      </c>
      <c r="O64" s="31"/>
      <c r="P64" s="31">
        <f t="shared" ref="P64:P70" si="34">H64-N64</f>
        <v>0</v>
      </c>
      <c r="Q64" s="31">
        <f t="shared" ref="Q64:Q70" si="35">D64-J64</f>
        <v>0</v>
      </c>
      <c r="R64" s="95"/>
      <c r="S64" s="95"/>
      <c r="T64" s="95"/>
      <c r="U64" s="95"/>
      <c r="V64" s="95"/>
      <c r="W64" s="95"/>
      <c r="X64" s="95"/>
      <c r="Y64" s="95"/>
    </row>
    <row r="65" spans="1:30" ht="12" hidden="1" customHeight="1" x14ac:dyDescent="0.25">
      <c r="A65" s="59"/>
      <c r="B65" s="35" t="s">
        <v>43</v>
      </c>
      <c r="D65" s="31">
        <v>0</v>
      </c>
      <c r="E65" s="31">
        <v>0</v>
      </c>
      <c r="F65" s="31">
        <v>0</v>
      </c>
      <c r="G65" s="31"/>
      <c r="H65" s="31"/>
      <c r="I65" s="31"/>
      <c r="J65" s="31">
        <v>0</v>
      </c>
      <c r="K65" s="31">
        <v>0</v>
      </c>
      <c r="L65" s="31">
        <v>0</v>
      </c>
      <c r="M65" s="31">
        <v>0</v>
      </c>
      <c r="N65" s="31">
        <f t="shared" si="33"/>
        <v>0</v>
      </c>
      <c r="O65" s="31"/>
      <c r="P65" s="31">
        <f t="shared" si="34"/>
        <v>0</v>
      </c>
      <c r="Q65" s="31">
        <f t="shared" si="35"/>
        <v>0</v>
      </c>
      <c r="R65" s="95"/>
      <c r="S65" s="95"/>
      <c r="T65" s="95"/>
      <c r="U65" s="95"/>
      <c r="V65" s="95"/>
      <c r="W65" s="95"/>
      <c r="X65" s="95"/>
      <c r="Y65" s="95"/>
    </row>
    <row r="66" spans="1:30" ht="12" hidden="1" customHeight="1" x14ac:dyDescent="0.25">
      <c r="A66" s="59"/>
      <c r="B66" s="96" t="s">
        <v>44</v>
      </c>
      <c r="D66" s="31">
        <v>0</v>
      </c>
      <c r="E66" s="31">
        <v>0</v>
      </c>
      <c r="F66" s="31">
        <v>0</v>
      </c>
      <c r="G66" s="31"/>
      <c r="H66" s="31">
        <f>SUM(D66:G66)</f>
        <v>0</v>
      </c>
      <c r="I66" s="31"/>
      <c r="J66" s="31">
        <v>0</v>
      </c>
      <c r="K66" s="31">
        <v>0</v>
      </c>
      <c r="L66" s="31">
        <v>0</v>
      </c>
      <c r="M66" s="31">
        <v>0</v>
      </c>
      <c r="N66" s="31">
        <f t="shared" si="33"/>
        <v>0</v>
      </c>
      <c r="O66" s="31"/>
      <c r="P66" s="31">
        <f t="shared" si="34"/>
        <v>0</v>
      </c>
      <c r="Q66" s="31">
        <f t="shared" si="35"/>
        <v>0</v>
      </c>
      <c r="R66" s="95"/>
      <c r="S66" s="95"/>
      <c r="T66" s="95"/>
      <c r="U66" s="95"/>
      <c r="V66" s="95"/>
      <c r="W66" s="95"/>
      <c r="X66" s="95"/>
      <c r="Y66" s="95"/>
    </row>
    <row r="67" spans="1:30" ht="12" hidden="1" customHeight="1" x14ac:dyDescent="0.25">
      <c r="A67" s="59"/>
      <c r="B67" s="97" t="s">
        <v>45</v>
      </c>
      <c r="D67" s="31">
        <v>0</v>
      </c>
      <c r="E67" s="31">
        <v>0</v>
      </c>
      <c r="F67" s="31">
        <v>0</v>
      </c>
      <c r="G67" s="31"/>
      <c r="H67" s="31">
        <f>SUM(D67:G67)</f>
        <v>0</v>
      </c>
      <c r="I67" s="31"/>
      <c r="J67" s="31">
        <v>0</v>
      </c>
      <c r="K67" s="31">
        <v>0</v>
      </c>
      <c r="L67" s="31">
        <v>0</v>
      </c>
      <c r="M67" s="31">
        <v>0</v>
      </c>
      <c r="N67" s="31">
        <f t="shared" si="33"/>
        <v>0</v>
      </c>
      <c r="O67" s="31"/>
      <c r="P67" s="31">
        <f t="shared" si="34"/>
        <v>0</v>
      </c>
      <c r="Q67" s="31">
        <f t="shared" si="35"/>
        <v>0</v>
      </c>
      <c r="R67" s="95"/>
      <c r="S67" s="95"/>
      <c r="T67" s="95"/>
      <c r="U67" s="95"/>
      <c r="V67" s="95"/>
      <c r="W67" s="95"/>
      <c r="X67" s="95"/>
      <c r="Y67" s="95"/>
    </row>
    <row r="68" spans="1:30" ht="12" hidden="1" customHeight="1" x14ac:dyDescent="0.25">
      <c r="A68" s="59"/>
      <c r="B68" s="98" t="s">
        <v>19</v>
      </c>
      <c r="D68" s="31">
        <v>0</v>
      </c>
      <c r="E68" s="31">
        <v>0</v>
      </c>
      <c r="F68" s="31">
        <v>0</v>
      </c>
      <c r="G68" s="31"/>
      <c r="H68" s="31">
        <f>SUM(D68:G68)</f>
        <v>0</v>
      </c>
      <c r="I68" s="31"/>
      <c r="J68" s="31">
        <v>0</v>
      </c>
      <c r="K68" s="31">
        <v>0</v>
      </c>
      <c r="L68" s="31">
        <v>0</v>
      </c>
      <c r="M68" s="31">
        <v>0</v>
      </c>
      <c r="N68" s="31">
        <f t="shared" si="33"/>
        <v>0</v>
      </c>
      <c r="O68" s="31"/>
      <c r="P68" s="31">
        <f t="shared" si="34"/>
        <v>0</v>
      </c>
      <c r="Q68" s="31">
        <f t="shared" si="35"/>
        <v>0</v>
      </c>
      <c r="R68" s="95"/>
      <c r="S68" s="95"/>
      <c r="T68" s="95"/>
      <c r="U68" s="95"/>
      <c r="V68" s="95"/>
      <c r="W68" s="95"/>
      <c r="X68" s="95"/>
      <c r="Y68" s="95"/>
      <c r="AD68" s="40"/>
    </row>
    <row r="69" spans="1:30" ht="12" hidden="1" customHeight="1" x14ac:dyDescent="0.25">
      <c r="A69" s="59"/>
      <c r="B69" s="97" t="s">
        <v>20</v>
      </c>
      <c r="D69" s="31">
        <v>0</v>
      </c>
      <c r="E69" s="31">
        <v>0</v>
      </c>
      <c r="F69" s="31">
        <v>0</v>
      </c>
      <c r="G69" s="31"/>
      <c r="H69" s="31">
        <f>SUM(D69:G69)</f>
        <v>0</v>
      </c>
      <c r="I69" s="31"/>
      <c r="J69" s="31">
        <v>0</v>
      </c>
      <c r="K69" s="31">
        <v>0</v>
      </c>
      <c r="L69" s="31">
        <v>0</v>
      </c>
      <c r="M69" s="31">
        <v>0</v>
      </c>
      <c r="N69" s="31">
        <f t="shared" si="33"/>
        <v>0</v>
      </c>
      <c r="O69" s="31"/>
      <c r="P69" s="31">
        <f t="shared" si="34"/>
        <v>0</v>
      </c>
      <c r="Q69" s="31">
        <f t="shared" si="35"/>
        <v>0</v>
      </c>
      <c r="R69" s="95"/>
      <c r="S69" s="95"/>
      <c r="T69" s="95"/>
      <c r="U69" s="95"/>
      <c r="V69" s="95"/>
      <c r="W69" s="95"/>
      <c r="X69" s="95"/>
      <c r="Y69" s="95"/>
    </row>
    <row r="70" spans="1:30" ht="12" hidden="1" customHeight="1" x14ac:dyDescent="0.25">
      <c r="A70" s="59"/>
      <c r="B70" s="99" t="s">
        <v>36</v>
      </c>
      <c r="D70" s="31">
        <v>0</v>
      </c>
      <c r="E70" s="31">
        <v>0</v>
      </c>
      <c r="F70" s="31">
        <v>0</v>
      </c>
      <c r="G70" s="31"/>
      <c r="H70" s="31">
        <f>SUM(D70:G70)</f>
        <v>0</v>
      </c>
      <c r="I70" s="31"/>
      <c r="J70" s="31">
        <v>0</v>
      </c>
      <c r="K70" s="31">
        <v>0</v>
      </c>
      <c r="L70" s="31">
        <v>0</v>
      </c>
      <c r="M70" s="31">
        <v>0</v>
      </c>
      <c r="N70" s="31">
        <f t="shared" si="33"/>
        <v>0</v>
      </c>
      <c r="O70" s="31"/>
      <c r="P70" s="31">
        <f t="shared" si="34"/>
        <v>0</v>
      </c>
      <c r="Q70" s="31">
        <f t="shared" si="35"/>
        <v>0</v>
      </c>
      <c r="R70" s="95"/>
      <c r="S70" s="95"/>
      <c r="T70" s="95"/>
      <c r="U70" s="95"/>
      <c r="V70" s="95"/>
      <c r="W70" s="95"/>
      <c r="X70" s="95"/>
      <c r="Y70" s="95"/>
    </row>
    <row r="71" spans="1:30" ht="12" hidden="1" customHeight="1" x14ac:dyDescent="0.25">
      <c r="A71" s="59"/>
      <c r="B71" s="12" t="s">
        <v>22</v>
      </c>
      <c r="C71" s="100"/>
      <c r="D71" s="47">
        <f>SUM(D64:D70)</f>
        <v>0</v>
      </c>
      <c r="E71" s="47">
        <f>SUM(E64:E70)</f>
        <v>0</v>
      </c>
      <c r="F71" s="47">
        <f>SUM(F64:F70)</f>
        <v>0</v>
      </c>
      <c r="G71" s="47"/>
      <c r="H71" s="47">
        <f>SUM(H64:H70)</f>
        <v>0</v>
      </c>
      <c r="I71" s="31"/>
      <c r="J71" s="47">
        <f>SUM(J64:J70)</f>
        <v>0</v>
      </c>
      <c r="K71" s="47">
        <f>SUM(K64:K70)</f>
        <v>0</v>
      </c>
      <c r="L71" s="47">
        <f>SUM(L64:L70)</f>
        <v>0</v>
      </c>
      <c r="M71" s="47">
        <f>SUM(M64:M70)</f>
        <v>0</v>
      </c>
      <c r="N71" s="47">
        <f>SUM(N64:N70)</f>
        <v>0</v>
      </c>
      <c r="O71" s="31"/>
      <c r="P71" s="47">
        <f>SUM(P64:P70)</f>
        <v>0</v>
      </c>
      <c r="Q71" s="47">
        <f>SUM(Q64:Q70)</f>
        <v>0</v>
      </c>
      <c r="R71" s="95"/>
      <c r="S71" s="95"/>
      <c r="T71" s="95"/>
      <c r="U71" s="95"/>
      <c r="V71" s="95"/>
      <c r="W71" s="95"/>
      <c r="X71" s="95"/>
      <c r="Y71" s="95"/>
      <c r="Z71" s="40"/>
      <c r="AA71" s="40"/>
      <c r="AB71" s="40"/>
    </row>
    <row r="72" spans="1:30" ht="22.05" hidden="1" customHeight="1" x14ac:dyDescent="0.25">
      <c r="A72" s="59"/>
      <c r="B72" s="99" t="s">
        <v>23</v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95"/>
      <c r="S72" s="95"/>
      <c r="T72" s="95"/>
      <c r="U72" s="95"/>
      <c r="V72" s="95"/>
      <c r="W72" s="95"/>
      <c r="X72" s="95"/>
      <c r="Y72" s="95"/>
      <c r="Z72" s="40"/>
      <c r="AA72" s="40"/>
      <c r="AB72" s="40"/>
    </row>
    <row r="73" spans="1:30" ht="12" hidden="1" customHeight="1" x14ac:dyDescent="0.25">
      <c r="A73" s="71" t="s">
        <v>32</v>
      </c>
      <c r="B73" s="54" t="s">
        <v>23</v>
      </c>
      <c r="C73" s="8"/>
      <c r="D73" s="8">
        <v>0</v>
      </c>
      <c r="E73" s="55">
        <v>26401.342064194003</v>
      </c>
      <c r="F73" s="49"/>
      <c r="G73" s="74"/>
      <c r="H73" s="49">
        <f>+SUMIF('[1]TB 31-03-24'!M:M,'Note 6'!B73,'[1]TB 31-03-24'!AD:AD)</f>
        <v>0</v>
      </c>
      <c r="I73" s="8"/>
      <c r="J73" s="8">
        <v>0</v>
      </c>
      <c r="K73" s="72">
        <v>0</v>
      </c>
      <c r="L73" s="72">
        <v>0</v>
      </c>
      <c r="M73" s="8">
        <v>0</v>
      </c>
      <c r="N73" s="72">
        <f>SUM(J73:M73)</f>
        <v>0</v>
      </c>
      <c r="O73" s="8"/>
      <c r="P73" s="49">
        <f>H73-N73</f>
        <v>0</v>
      </c>
      <c r="Q73" s="72">
        <f>D73-J73</f>
        <v>0</v>
      </c>
      <c r="R73" s="95"/>
      <c r="S73" s="95"/>
      <c r="T73" s="95"/>
      <c r="U73" s="95"/>
      <c r="V73" s="95"/>
      <c r="W73" s="95"/>
      <c r="X73" s="95"/>
      <c r="Y73" s="95"/>
      <c r="Z73" s="40"/>
      <c r="AA73" s="40"/>
      <c r="AB73" s="40"/>
    </row>
    <row r="74" spans="1:30" ht="12" customHeight="1" x14ac:dyDescent="0.25">
      <c r="A74" s="71"/>
      <c r="B74" s="54"/>
      <c r="C74" s="8"/>
      <c r="D74" s="8"/>
      <c r="E74" s="55"/>
      <c r="F74" s="49"/>
      <c r="G74" s="74"/>
      <c r="H74" s="49"/>
      <c r="I74" s="8"/>
      <c r="J74" s="8"/>
      <c r="K74" s="72"/>
      <c r="L74" s="72"/>
      <c r="M74" s="8"/>
      <c r="N74" s="72"/>
      <c r="O74" s="8"/>
      <c r="P74" s="49"/>
      <c r="Q74" s="72"/>
      <c r="R74" s="95"/>
      <c r="S74" s="95"/>
      <c r="T74" s="95"/>
      <c r="U74" s="95"/>
      <c r="V74" s="95"/>
      <c r="W74" s="95"/>
      <c r="X74" s="95"/>
      <c r="Y74" s="95"/>
      <c r="Z74" s="40"/>
      <c r="AA74" s="40"/>
      <c r="AB74" s="40"/>
    </row>
    <row r="75" spans="1:30" ht="12" customHeight="1" x14ac:dyDescent="0.25">
      <c r="A75" s="59"/>
      <c r="B75" s="54" t="s">
        <v>46</v>
      </c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95"/>
      <c r="S75" s="95"/>
      <c r="T75" s="95"/>
      <c r="U75" s="95"/>
      <c r="V75" s="95"/>
      <c r="W75" s="95"/>
      <c r="X75" s="95"/>
      <c r="Y75" s="95"/>
      <c r="Z75" s="40"/>
      <c r="AA75" s="40"/>
      <c r="AB75" s="40"/>
    </row>
    <row r="76" spans="1:30" ht="12" customHeight="1" x14ac:dyDescent="0.25">
      <c r="A76" s="59"/>
      <c r="B76" s="99" t="s">
        <v>47</v>
      </c>
      <c r="C76" s="36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95"/>
      <c r="S76" s="95"/>
      <c r="T76" s="95"/>
      <c r="U76" s="95"/>
      <c r="V76" s="95"/>
      <c r="W76" s="95"/>
      <c r="X76" s="95"/>
      <c r="Y76" s="95"/>
      <c r="Z76" s="40"/>
      <c r="AA76" s="40"/>
      <c r="AB76" s="40"/>
    </row>
    <row r="77" spans="1:30" ht="12" customHeight="1" x14ac:dyDescent="0.25">
      <c r="A77" s="59"/>
      <c r="B77" s="58" t="s">
        <v>48</v>
      </c>
      <c r="C77" s="36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95"/>
      <c r="S77" s="95"/>
      <c r="T77" s="95"/>
      <c r="U77" s="95"/>
      <c r="V77" s="95"/>
      <c r="W77" s="95"/>
      <c r="X77" s="95"/>
      <c r="Y77" s="95"/>
      <c r="Z77" s="40"/>
      <c r="AA77" s="40"/>
      <c r="AB77" s="40"/>
    </row>
    <row r="78" spans="1:30" x14ac:dyDescent="0.25">
      <c r="A78" s="59"/>
      <c r="B78" s="99" t="s">
        <v>49</v>
      </c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9"/>
      <c r="S78" s="39"/>
      <c r="T78" s="39"/>
      <c r="U78" s="39"/>
      <c r="V78" s="39"/>
      <c r="W78" s="39"/>
      <c r="X78" s="39"/>
      <c r="Y78" s="39"/>
      <c r="Z78" s="40"/>
      <c r="AA78" s="40"/>
      <c r="AB78" s="40"/>
    </row>
    <row r="79" spans="1:30" s="106" customFormat="1" hidden="1" x14ac:dyDescent="0.3">
      <c r="A79" s="101">
        <v>5.0999999999999996</v>
      </c>
      <c r="B79" s="102" t="s">
        <v>50</v>
      </c>
      <c r="C79" s="103"/>
      <c r="D79" s="103"/>
      <c r="E79" s="103"/>
      <c r="F79" s="103"/>
      <c r="G79" s="103"/>
      <c r="H79" s="103"/>
      <c r="I79" s="104"/>
      <c r="J79" s="103"/>
      <c r="K79" s="103"/>
      <c r="L79" s="103"/>
      <c r="M79" s="103"/>
      <c r="N79" s="103"/>
      <c r="O79" s="104"/>
      <c r="P79" s="104"/>
      <c r="Q79" s="104"/>
      <c r="R79" s="105"/>
      <c r="S79" s="105"/>
      <c r="T79" s="105"/>
      <c r="U79" s="105"/>
      <c r="V79" s="105"/>
      <c r="W79" s="105"/>
      <c r="X79" s="105"/>
      <c r="Y79" s="105"/>
    </row>
    <row r="80" spans="1:30" hidden="1" x14ac:dyDescent="0.25">
      <c r="B80" s="41" t="s">
        <v>51</v>
      </c>
      <c r="C80" s="103"/>
      <c r="D80" s="103"/>
      <c r="E80" s="103"/>
      <c r="F80" s="103"/>
      <c r="G80" s="103"/>
      <c r="H80" s="103"/>
      <c r="I80" s="104"/>
      <c r="J80" s="103"/>
      <c r="K80" s="103"/>
      <c r="L80" s="103"/>
      <c r="M80" s="103"/>
      <c r="N80" s="103"/>
      <c r="O80" s="104"/>
      <c r="P80" s="104"/>
      <c r="Q80" s="104"/>
      <c r="R80" s="105"/>
      <c r="S80" s="105"/>
      <c r="T80" s="105"/>
      <c r="U80" s="105"/>
      <c r="V80" s="105"/>
      <c r="W80" s="105"/>
      <c r="X80" s="105"/>
      <c r="Y80" s="105"/>
    </row>
    <row r="81" spans="1:27" x14ac:dyDescent="0.25">
      <c r="B81" s="41"/>
      <c r="C81" s="103"/>
      <c r="D81" s="103"/>
      <c r="E81" s="103"/>
      <c r="F81" s="103"/>
      <c r="G81" s="103"/>
      <c r="H81" s="103"/>
      <c r="I81" s="104"/>
      <c r="J81" s="103"/>
      <c r="K81" s="103"/>
      <c r="L81" s="103"/>
      <c r="M81" s="103"/>
      <c r="N81" s="103"/>
      <c r="O81" s="104"/>
      <c r="P81" s="104"/>
      <c r="Q81" s="104"/>
      <c r="R81" s="105"/>
      <c r="S81" s="105"/>
      <c r="T81" s="105"/>
      <c r="U81" s="105"/>
      <c r="V81" s="105"/>
      <c r="W81" s="105"/>
      <c r="X81" s="105"/>
      <c r="Y81" s="105"/>
      <c r="AA81" s="5">
        <v>-207038362.68000001</v>
      </c>
    </row>
    <row r="82" spans="1:27" hidden="1" x14ac:dyDescent="0.25">
      <c r="A82" s="108">
        <v>5.0999999999999996</v>
      </c>
      <c r="B82" s="124" t="s">
        <v>52</v>
      </c>
      <c r="C82" s="124"/>
      <c r="D82" s="124"/>
      <c r="E82" s="124"/>
      <c r="F82" s="110"/>
      <c r="G82" s="110"/>
      <c r="AA82" s="40">
        <f>N38+AA83</f>
        <v>199.64000000000001</v>
      </c>
    </row>
    <row r="83" spans="1:27" ht="12" hidden="1" customHeight="1" x14ac:dyDescent="0.25">
      <c r="B83" s="109"/>
      <c r="C83" s="109"/>
      <c r="D83" s="109"/>
      <c r="E83" s="109"/>
      <c r="F83" s="110"/>
      <c r="G83" s="110"/>
      <c r="AA83" s="5">
        <f>'[1]Note 7'!I12</f>
        <v>0.45999999999999996</v>
      </c>
    </row>
    <row r="84" spans="1:27" ht="12" hidden="1" customHeight="1" x14ac:dyDescent="0.25">
      <c r="B84" s="125" t="s">
        <v>53</v>
      </c>
      <c r="C84" s="125"/>
      <c r="D84" s="125"/>
      <c r="E84" s="125"/>
      <c r="F84" s="110"/>
      <c r="G84" s="110"/>
      <c r="AA84" s="40">
        <f>AA81+AA82</f>
        <v>-207038163.04000002</v>
      </c>
    </row>
    <row r="85" spans="1:27" ht="12" hidden="1" customHeight="1" x14ac:dyDescent="0.25">
      <c r="B85" s="111"/>
      <c r="C85" s="111"/>
      <c r="D85" s="111"/>
      <c r="E85" s="111"/>
      <c r="F85" s="110"/>
      <c r="G85" s="110"/>
    </row>
    <row r="86" spans="1:27" ht="12" hidden="1" customHeight="1" x14ac:dyDescent="0.25">
      <c r="B86" s="111" t="s">
        <v>54</v>
      </c>
      <c r="C86" s="111"/>
      <c r="D86" s="111"/>
      <c r="E86" s="111"/>
      <c r="F86" s="110"/>
      <c r="G86" s="110"/>
      <c r="H86" s="36"/>
      <c r="J86" s="36"/>
      <c r="K86" s="36"/>
      <c r="L86" s="36"/>
      <c r="M86" s="36"/>
      <c r="N86" s="36"/>
    </row>
    <row r="87" spans="1:27" ht="12" hidden="1" customHeight="1" x14ac:dyDescent="0.25">
      <c r="B87" s="111"/>
      <c r="C87" s="111"/>
      <c r="D87" s="111"/>
      <c r="E87" s="111"/>
      <c r="F87" s="110"/>
      <c r="G87" s="110"/>
      <c r="H87" s="36"/>
      <c r="J87" s="36"/>
      <c r="K87" s="36"/>
      <c r="L87" s="36"/>
      <c r="M87" s="36"/>
      <c r="N87" s="36"/>
    </row>
    <row r="88" spans="1:27" ht="12" hidden="1" customHeight="1" x14ac:dyDescent="0.25">
      <c r="B88" s="111" t="s">
        <v>55</v>
      </c>
      <c r="C88" s="111"/>
      <c r="D88" s="111"/>
      <c r="E88" s="111"/>
      <c r="F88" s="110"/>
      <c r="G88" s="110"/>
      <c r="H88" s="36"/>
      <c r="J88" s="36"/>
      <c r="K88" s="36"/>
      <c r="L88" s="36"/>
      <c r="M88" s="36"/>
      <c r="N88" s="36"/>
    </row>
    <row r="89" spans="1:27" hidden="1" x14ac:dyDescent="0.25">
      <c r="B89" s="120" t="s">
        <v>56</v>
      </c>
      <c r="C89" s="121" t="s">
        <v>57</v>
      </c>
      <c r="D89" s="121"/>
      <c r="E89" s="121"/>
      <c r="F89" s="121"/>
      <c r="G89" s="122" t="s">
        <v>58</v>
      </c>
      <c r="H89" s="36"/>
      <c r="J89" s="36"/>
      <c r="K89" s="36"/>
      <c r="L89" s="36"/>
      <c r="M89" s="36"/>
      <c r="N89" s="36"/>
    </row>
    <row r="90" spans="1:27" hidden="1" x14ac:dyDescent="0.25">
      <c r="B90" s="120"/>
      <c r="C90" s="112" t="s">
        <v>59</v>
      </c>
      <c r="D90" s="112" t="s">
        <v>60</v>
      </c>
      <c r="E90" s="113" t="s">
        <v>61</v>
      </c>
      <c r="F90" s="112" t="s">
        <v>62</v>
      </c>
      <c r="G90" s="122"/>
      <c r="H90" s="36"/>
      <c r="J90" s="36"/>
      <c r="K90" s="36"/>
      <c r="L90" s="36"/>
      <c r="M90" s="36"/>
      <c r="N90" s="36"/>
    </row>
    <row r="91" spans="1:27" hidden="1" x14ac:dyDescent="0.25">
      <c r="B91" s="114" t="s">
        <v>63</v>
      </c>
      <c r="C91" s="115">
        <v>96187640.209399253</v>
      </c>
      <c r="D91" s="115">
        <f>H23</f>
        <v>0</v>
      </c>
      <c r="E91" s="115">
        <v>0</v>
      </c>
      <c r="F91" s="115">
        <v>0</v>
      </c>
      <c r="G91" s="116">
        <f>SUM(D91:F91)</f>
        <v>0</v>
      </c>
      <c r="H91" s="36"/>
      <c r="J91" s="36"/>
      <c r="K91" s="36"/>
      <c r="L91" s="36"/>
      <c r="M91" s="36"/>
      <c r="N91" s="36"/>
    </row>
    <row r="92" spans="1:27" hidden="1" x14ac:dyDescent="0.25">
      <c r="B92" s="114" t="s">
        <v>64</v>
      </c>
      <c r="C92" s="115">
        <v>0</v>
      </c>
      <c r="D92" s="115">
        <v>0</v>
      </c>
      <c r="E92" s="115">
        <v>0</v>
      </c>
      <c r="F92" s="115">
        <v>0</v>
      </c>
      <c r="G92" s="115">
        <v>0</v>
      </c>
      <c r="H92" s="36"/>
      <c r="J92" s="36"/>
      <c r="K92" s="36"/>
      <c r="L92" s="36"/>
      <c r="M92" s="36"/>
      <c r="N92" s="36"/>
    </row>
    <row r="93" spans="1:27" ht="7.5" hidden="1" customHeight="1" x14ac:dyDescent="0.25">
      <c r="B93" s="117"/>
      <c r="C93" s="118"/>
      <c r="D93" s="118"/>
      <c r="E93" s="118"/>
      <c r="F93" s="118"/>
      <c r="G93" s="118"/>
      <c r="H93" s="36"/>
      <c r="J93" s="36"/>
      <c r="K93" s="36"/>
      <c r="L93" s="36"/>
      <c r="M93" s="36"/>
      <c r="N93" s="36"/>
    </row>
    <row r="94" spans="1:27" ht="12" hidden="1" customHeight="1" x14ac:dyDescent="0.25">
      <c r="B94" s="111" t="s">
        <v>65</v>
      </c>
      <c r="C94" s="111"/>
      <c r="D94" s="111"/>
      <c r="E94" s="111"/>
      <c r="F94" s="110"/>
      <c r="G94" s="110"/>
      <c r="H94" s="36"/>
      <c r="J94" s="36"/>
      <c r="K94" s="36"/>
      <c r="L94" s="36"/>
      <c r="M94" s="36"/>
      <c r="N94" s="36"/>
    </row>
    <row r="95" spans="1:27" hidden="1" x14ac:dyDescent="0.25">
      <c r="B95" s="120" t="s">
        <v>56</v>
      </c>
      <c r="C95" s="121" t="s">
        <v>57</v>
      </c>
      <c r="D95" s="121"/>
      <c r="E95" s="121"/>
      <c r="F95" s="121"/>
      <c r="G95" s="122" t="s">
        <v>58</v>
      </c>
      <c r="H95" s="36"/>
      <c r="J95" s="36"/>
      <c r="K95" s="36"/>
      <c r="L95" s="36"/>
      <c r="M95" s="36"/>
      <c r="N95" s="36"/>
    </row>
    <row r="96" spans="1:27" hidden="1" x14ac:dyDescent="0.25">
      <c r="B96" s="120"/>
      <c r="C96" s="112" t="s">
        <v>59</v>
      </c>
      <c r="D96" s="112" t="s">
        <v>60</v>
      </c>
      <c r="E96" s="113" t="s">
        <v>61</v>
      </c>
      <c r="F96" s="112" t="s">
        <v>62</v>
      </c>
      <c r="G96" s="122"/>
      <c r="H96" s="36"/>
      <c r="J96" s="36"/>
      <c r="K96" s="36"/>
      <c r="L96" s="36"/>
      <c r="M96" s="36"/>
      <c r="N96" s="36"/>
    </row>
    <row r="97" spans="2:14" hidden="1" x14ac:dyDescent="0.25">
      <c r="B97" s="114" t="s">
        <v>63</v>
      </c>
      <c r="C97" s="115">
        <v>96187640.209399253</v>
      </c>
      <c r="D97" s="115">
        <f>H41</f>
        <v>0</v>
      </c>
      <c r="E97" s="115">
        <v>0</v>
      </c>
      <c r="F97" s="115">
        <v>0</v>
      </c>
      <c r="G97" s="116">
        <f>SUM(D97:F97)</f>
        <v>0</v>
      </c>
      <c r="H97" s="36"/>
      <c r="J97" s="36"/>
      <c r="K97" s="36"/>
      <c r="L97" s="36"/>
      <c r="M97" s="36"/>
      <c r="N97" s="36"/>
    </row>
    <row r="98" spans="2:14" hidden="1" x14ac:dyDescent="0.25">
      <c r="B98" s="114" t="s">
        <v>64</v>
      </c>
      <c r="C98" s="115">
        <v>0</v>
      </c>
      <c r="D98" s="115">
        <v>0</v>
      </c>
      <c r="E98" s="115">
        <v>0</v>
      </c>
      <c r="F98" s="115">
        <v>0</v>
      </c>
      <c r="G98" s="115">
        <v>0</v>
      </c>
      <c r="H98" s="36"/>
      <c r="J98" s="36"/>
      <c r="K98" s="36"/>
      <c r="L98" s="36"/>
      <c r="M98" s="36"/>
      <c r="N98" s="36"/>
    </row>
    <row r="99" spans="2:14" hidden="1" x14ac:dyDescent="0.25">
      <c r="B99" s="117"/>
      <c r="C99" s="118"/>
      <c r="D99" s="118"/>
      <c r="E99" s="118"/>
      <c r="F99" s="118"/>
      <c r="G99" s="118"/>
      <c r="H99" s="36"/>
      <c r="J99" s="36"/>
      <c r="K99" s="36"/>
      <c r="L99" s="36"/>
      <c r="M99" s="36"/>
      <c r="N99" s="36"/>
    </row>
    <row r="100" spans="2:14" ht="3" hidden="1" customHeight="1" x14ac:dyDescent="0.25">
      <c r="B100" s="117"/>
      <c r="C100" s="118"/>
      <c r="D100" s="118"/>
      <c r="E100" s="118"/>
      <c r="F100" s="118"/>
      <c r="G100" s="118"/>
      <c r="H100" s="36"/>
      <c r="J100" s="36"/>
      <c r="K100" s="36"/>
      <c r="L100" s="36"/>
      <c r="M100" s="36"/>
      <c r="N100" s="36"/>
    </row>
    <row r="101" spans="2:14" ht="12" hidden="1" customHeight="1" x14ac:dyDescent="0.25"/>
    <row r="102" spans="2:14" ht="12" hidden="1" customHeight="1" x14ac:dyDescent="0.25"/>
    <row r="103" spans="2:14" hidden="1" x14ac:dyDescent="0.25"/>
    <row r="104" spans="2:14" hidden="1" x14ac:dyDescent="0.25">
      <c r="B104" s="111" t="s">
        <v>66</v>
      </c>
      <c r="C104" s="111"/>
      <c r="D104" s="111"/>
      <c r="E104" s="111"/>
      <c r="F104" s="110"/>
      <c r="G104" s="110"/>
    </row>
    <row r="105" spans="2:14" hidden="1" x14ac:dyDescent="0.25">
      <c r="B105" s="120" t="s">
        <v>56</v>
      </c>
      <c r="C105" s="121" t="s">
        <v>57</v>
      </c>
      <c r="D105" s="121"/>
      <c r="E105" s="121"/>
      <c r="F105" s="121"/>
      <c r="G105" s="122" t="s">
        <v>58</v>
      </c>
    </row>
    <row r="106" spans="2:14" hidden="1" x14ac:dyDescent="0.25">
      <c r="B106" s="120"/>
      <c r="C106" s="112" t="s">
        <v>59</v>
      </c>
      <c r="D106" s="112" t="s">
        <v>60</v>
      </c>
      <c r="E106" s="113" t="s">
        <v>61</v>
      </c>
      <c r="F106" s="112" t="s">
        <v>62</v>
      </c>
      <c r="G106" s="122"/>
    </row>
    <row r="107" spans="2:14" hidden="1" x14ac:dyDescent="0.25">
      <c r="B107" s="114" t="s">
        <v>63</v>
      </c>
      <c r="C107" s="115">
        <v>96187640.209399253</v>
      </c>
      <c r="D107" s="115">
        <f>H73</f>
        <v>0</v>
      </c>
      <c r="E107" s="115">
        <v>0</v>
      </c>
      <c r="F107" s="115">
        <v>0</v>
      </c>
      <c r="G107" s="116">
        <f>SUM(D107:F107)</f>
        <v>0</v>
      </c>
    </row>
    <row r="108" spans="2:14" hidden="1" x14ac:dyDescent="0.25">
      <c r="B108" s="114" t="s">
        <v>64</v>
      </c>
      <c r="C108" s="115">
        <v>0</v>
      </c>
      <c r="D108" s="115">
        <v>0</v>
      </c>
      <c r="E108" s="115">
        <v>0</v>
      </c>
      <c r="F108" s="115">
        <v>0</v>
      </c>
      <c r="G108" s="115">
        <v>0</v>
      </c>
    </row>
    <row r="109" spans="2:14" hidden="1" x14ac:dyDescent="0.25">
      <c r="B109" s="117"/>
      <c r="C109" s="118"/>
      <c r="D109" s="118"/>
      <c r="E109" s="118"/>
      <c r="F109" s="118"/>
      <c r="G109" s="118"/>
    </row>
    <row r="110" spans="2:14" hidden="1" x14ac:dyDescent="0.25">
      <c r="B110" s="99" t="s">
        <v>67</v>
      </c>
      <c r="C110" s="119"/>
      <c r="D110" s="119"/>
      <c r="E110" s="119"/>
      <c r="F110" s="119"/>
      <c r="G110" s="119"/>
      <c r="H110" s="36"/>
      <c r="J110" s="36"/>
      <c r="K110" s="36"/>
      <c r="L110" s="36"/>
      <c r="M110" s="36"/>
      <c r="N110" s="36"/>
    </row>
    <row r="130" spans="11:11" x14ac:dyDescent="0.25">
      <c r="K130" s="3">
        <f>-+SUMIF('[1]TB 31-03-24'!M:M,'[1]Notes 14 to 22'!B136,'[1]TB 31-03-24'!AD:AD)</f>
        <v>2940</v>
      </c>
    </row>
    <row r="168" spans="9:11" x14ac:dyDescent="0.25">
      <c r="J168" s="3">
        <f>-+SUMIF('[1]TB 31-03-24'!M:M,C168,'[1]TB 31-03-24'!Z:Z)</f>
        <v>0</v>
      </c>
      <c r="K168" s="3">
        <f>-+SUMIF('[1]TB 31-03-24'!M:M,C168,'[1]TB 31-03-24'!AD:AD)</f>
        <v>-0.01</v>
      </c>
    </row>
    <row r="169" spans="9:11" x14ac:dyDescent="0.25">
      <c r="I169" s="2">
        <f>-+SUMIF('[1]TB 31-03-24'!M:M,C169,'[1]TB 31-03-24'!R:R)</f>
        <v>0</v>
      </c>
      <c r="J169" s="3">
        <f>-+SUMIF('[1]TB 31-03-24'!M:M,C169,'[1]TB 31-03-24'!Z:Z)</f>
        <v>0</v>
      </c>
      <c r="K169" s="3">
        <f>-+SUMIF('[1]TB 31-03-24'!N:N,C169,'[1]TB 31-03-24'!AD:AD)</f>
        <v>0</v>
      </c>
    </row>
    <row r="171" spans="9:11" x14ac:dyDescent="0.25">
      <c r="I171" s="3">
        <f>-+SUMIF('[1]TB 31-03-24'!M:M,A171,'[1]TB 31-03-24'!R:R)</f>
        <v>0</v>
      </c>
    </row>
    <row r="258" spans="2:2" x14ac:dyDescent="0.25">
      <c r="B258" s="2" t="s">
        <v>68</v>
      </c>
    </row>
  </sheetData>
  <mergeCells count="59">
    <mergeCell ref="R8:R10"/>
    <mergeCell ref="D7:H7"/>
    <mergeCell ref="J7:N7"/>
    <mergeCell ref="P7:Q7"/>
    <mergeCell ref="D8:D10"/>
    <mergeCell ref="E8:E10"/>
    <mergeCell ref="F8:F10"/>
    <mergeCell ref="G8:G10"/>
    <mergeCell ref="H8:H10"/>
    <mergeCell ref="J8:J10"/>
    <mergeCell ref="K8:K10"/>
    <mergeCell ref="L8:L10"/>
    <mergeCell ref="M8:M10"/>
    <mergeCell ref="N8:N10"/>
    <mergeCell ref="P8:P10"/>
    <mergeCell ref="Q8:Q10"/>
    <mergeCell ref="D45:H45"/>
    <mergeCell ref="J45:N45"/>
    <mergeCell ref="P45:Q45"/>
    <mergeCell ref="D26:H26"/>
    <mergeCell ref="J26:N26"/>
    <mergeCell ref="P26:Q26"/>
    <mergeCell ref="D27:D29"/>
    <mergeCell ref="E27:E29"/>
    <mergeCell ref="F27:F29"/>
    <mergeCell ref="G27:G29"/>
    <mergeCell ref="H27:H29"/>
    <mergeCell ref="J27:J29"/>
    <mergeCell ref="K27:K29"/>
    <mergeCell ref="L27:L29"/>
    <mergeCell ref="M27:M29"/>
    <mergeCell ref="N27:N29"/>
    <mergeCell ref="P27:P29"/>
    <mergeCell ref="Q27:Q29"/>
    <mergeCell ref="Q46:Q48"/>
    <mergeCell ref="D46:D48"/>
    <mergeCell ref="E46:E48"/>
    <mergeCell ref="F46:F48"/>
    <mergeCell ref="G46:G48"/>
    <mergeCell ref="H46:H48"/>
    <mergeCell ref="J46:J48"/>
    <mergeCell ref="K46:K48"/>
    <mergeCell ref="L46:L48"/>
    <mergeCell ref="M46:M48"/>
    <mergeCell ref="N46:N48"/>
    <mergeCell ref="P46:P48"/>
    <mergeCell ref="P61:P62"/>
    <mergeCell ref="Q61:Q62"/>
    <mergeCell ref="B82:E82"/>
    <mergeCell ref="B84:E84"/>
    <mergeCell ref="B89:B90"/>
    <mergeCell ref="C89:F89"/>
    <mergeCell ref="G89:G90"/>
    <mergeCell ref="B95:B96"/>
    <mergeCell ref="C95:F95"/>
    <mergeCell ref="G95:G96"/>
    <mergeCell ref="B105:B106"/>
    <mergeCell ref="C105:F105"/>
    <mergeCell ref="G105:G106"/>
  </mergeCells>
  <printOptions horizontalCentered="1"/>
  <pageMargins left="0.23622047244094488" right="0.23622047244094488" top="0.74803149606299213" bottom="0.74803149606299213" header="0.31496062992125984" footer="0.31496062992125984"/>
  <pageSetup scale="71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Note 6</vt:lpstr>
      <vt:lpstr>'Note 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Aayushi Chopra</dc:creator>
  <cp:lastModifiedBy>Ridhav Modi</cp:lastModifiedBy>
  <dcterms:created xsi:type="dcterms:W3CDTF">2025-04-17T08:06:37Z</dcterms:created>
  <dcterms:modified xsi:type="dcterms:W3CDTF">2025-04-29T06:54:21Z</dcterms:modified>
</cp:coreProperties>
</file>